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parkwork/Library/CloudStorage/OneDrive-MassachusettsInstituteofTechnology/Other/15.465/"/>
    </mc:Choice>
  </mc:AlternateContent>
  <xr:revisionPtr revIDLastSave="0" documentId="13_ncr:1_{B5F50F57-EF11-BE41-B366-A371DEBB111F}" xr6:coauthVersionLast="47" xr6:coauthVersionMax="47" xr10:uidLastSave="{00000000-0000-0000-0000-000000000000}"/>
  <bookViews>
    <workbookView xWindow="0" yWindow="660" windowWidth="30240" windowHeight="17180" xr2:uid="{9B39AC09-1A00-FA4A-A213-BA077D396535}"/>
  </bookViews>
  <sheets>
    <sheet name="Signals" sheetId="1" r:id="rId1"/>
    <sheet name="Historical Data PFE" sheetId="2" r:id="rId2"/>
    <sheet name="Historical Monthly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1" i="1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" i="2"/>
  <c r="G11" i="1"/>
  <c r="F10" i="1"/>
  <c r="F9" i="1"/>
  <c r="F7" i="1"/>
  <c r="F6" i="1"/>
  <c r="B9" i="1"/>
  <c r="F8" i="1"/>
  <c r="F4" i="1"/>
  <c r="F2" i="1"/>
  <c r="F5" i="1"/>
  <c r="F3" i="1"/>
  <c r="B40" i="1" a="1"/>
  <c r="B40" i="1" s="1"/>
  <c r="H3" i="3"/>
  <c r="J4" i="3"/>
  <c r="J5" i="3"/>
  <c r="J6" i="3"/>
  <c r="J7" i="3"/>
  <c r="J8" i="3"/>
  <c r="J9" i="3"/>
  <c r="J10" i="3"/>
  <c r="J11" i="3"/>
  <c r="J12" i="3"/>
  <c r="J13" i="3"/>
  <c r="J14" i="3"/>
  <c r="J3" i="3"/>
  <c r="H19" i="3"/>
  <c r="H20" i="3"/>
  <c r="H21" i="3"/>
  <c r="H22" i="3"/>
  <c r="H23" i="3"/>
  <c r="H24" i="3"/>
  <c r="H25" i="3"/>
  <c r="H26" i="3"/>
  <c r="H27" i="3"/>
  <c r="H28" i="3"/>
  <c r="H29" i="3"/>
  <c r="H30" i="3"/>
  <c r="H4" i="3"/>
  <c r="H5" i="3"/>
  <c r="H6" i="3"/>
  <c r="H7" i="3"/>
  <c r="H8" i="3"/>
  <c r="H9" i="3"/>
  <c r="H10" i="3"/>
  <c r="H11" i="3"/>
  <c r="H12" i="3"/>
  <c r="H13" i="3"/>
  <c r="H14" i="3"/>
  <c r="B38" i="1"/>
  <c r="B35" i="1"/>
  <c r="B29" i="1"/>
  <c r="B20" i="1"/>
  <c r="B23" i="1"/>
  <c r="B24" i="1" s="1"/>
  <c r="B13" i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tc={C30FA555-917D-4E4E-BDD8-04A6901E0748}</author>
    <author>tc={7533A8CF-3B15-4241-8E88-9F4C52ACCF73}</author>
  </authors>
  <commentList>
    <comment ref="B31" authorId="0" shapeId="0" xr:uid="{C30FA555-917D-4E4E-BDD8-04A6901E0748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from Yahoo! Finance data as of 4/30/26, see Historical Data tab.</t>
      </text>
    </comment>
    <comment ref="B40" authorId="1" shapeId="0" xr:uid="{7533A8CF-3B15-4241-8E88-9F4C52ACCF73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from data pulled from Yahoo! Finance on 4/30/26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<sst xmlns="http://schemas.openxmlformats.org/spreadsheetml/2006/main" count="136" uniqueCount="83">
  <si>
    <t>Total Assets</t>
  </si>
  <si>
    <t>Total Liabilities</t>
  </si>
  <si>
    <t>Value</t>
  </si>
  <si>
    <t>Source</t>
  </si>
  <si>
    <t>Market Cap</t>
  </si>
  <si>
    <t>Yahoo! Finance 4/28 EOD value</t>
  </si>
  <si>
    <t>Book-To-Market</t>
  </si>
  <si>
    <t>10-K 12/31/25</t>
  </si>
  <si>
    <t>Cost of Sales</t>
  </si>
  <si>
    <t>Total Revenues</t>
  </si>
  <si>
    <t>Gross Profitability</t>
  </si>
  <si>
    <t>Net Income</t>
  </si>
  <si>
    <t>Operating Cash Flows</t>
  </si>
  <si>
    <t>Accurals</t>
  </si>
  <si>
    <t>Payments on Long-Term Debt</t>
  </si>
  <si>
    <t>Net Debt</t>
  </si>
  <si>
    <t>Share Repurchases</t>
  </si>
  <si>
    <t>Proceeds from the Issuance of Long-Term Debt</t>
  </si>
  <si>
    <t>Proceeds from the Issuance of Common Stock</t>
  </si>
  <si>
    <t>Net Equity</t>
  </si>
  <si>
    <t>Proceeds from Short-Term Borrowings</t>
  </si>
  <si>
    <t>Payments on Short-Term Borrowings</t>
  </si>
  <si>
    <t>Proceeds from Short-Term Borrowings with Original Maturities ≤ 3 months</t>
  </si>
  <si>
    <t>External Financing</t>
  </si>
  <si>
    <t>See note 12 in 10-K</t>
  </si>
  <si>
    <t>Shares Outstanding</t>
  </si>
  <si>
    <t>10-K as of 2/19/26</t>
  </si>
  <si>
    <t>Shares Sold by C-Suite Executives</t>
  </si>
  <si>
    <t>Shares Purchased by C-Suite Executives</t>
  </si>
  <si>
    <t>4 between 2/2/26 and 4/27/26</t>
  </si>
  <si>
    <t>Insider Selling</t>
  </si>
  <si>
    <t>Date</t>
  </si>
  <si>
    <t>Open</t>
  </si>
  <si>
    <t>High</t>
  </si>
  <si>
    <t>Low</t>
  </si>
  <si>
    <t>Close </t>
  </si>
  <si>
    <t>Adj Close </t>
  </si>
  <si>
    <t>Volume</t>
  </si>
  <si>
    <t>Volatility</t>
  </si>
  <si>
    <t>Yahoo! Finance as of 4/30/26</t>
  </si>
  <si>
    <t>Reported Diluted EPS Q4 2025</t>
  </si>
  <si>
    <t>Reported Diluted EPS Q4 2024</t>
  </si>
  <si>
    <t>8-K 2/3/26</t>
  </si>
  <si>
    <t>SUE</t>
  </si>
  <si>
    <t>Analyst Consensus EPS Estimate Q4 2025</t>
  </si>
  <si>
    <t>Close</t>
  </si>
  <si>
    <t>Adj Close</t>
  </si>
  <si>
    <t>S&amp;P500</t>
  </si>
  <si>
    <t>PFE</t>
  </si>
  <si>
    <t>Monthly Returns</t>
  </si>
  <si>
    <t xml:space="preserve">Market-Adjusted Return </t>
  </si>
  <si>
    <t>Momentum</t>
  </si>
  <si>
    <t>Total Current Assets</t>
  </si>
  <si>
    <t>Total Current Liabilities</t>
  </si>
  <si>
    <t>Long-Term Debt</t>
  </si>
  <si>
    <t>ROA</t>
  </si>
  <si>
    <t>CFO</t>
  </si>
  <si>
    <t>ΔROA</t>
  </si>
  <si>
    <t>Total Assets 2024</t>
  </si>
  <si>
    <t>Net Income 2024</t>
  </si>
  <si>
    <t>Long-Term Debt 2024</t>
  </si>
  <si>
    <t>ΔLeverage</t>
  </si>
  <si>
    <t>Total Current Liabilities 2024</t>
  </si>
  <si>
    <t>Total Current Assets 2024</t>
  </si>
  <si>
    <t>Dilution</t>
  </si>
  <si>
    <t>Shares Outstanding 2024</t>
  </si>
  <si>
    <t>Cost of Sales 2024</t>
  </si>
  <si>
    <t>Total Revenues 2024</t>
  </si>
  <si>
    <t>ΔGross Margin</t>
  </si>
  <si>
    <t>ΔLiquidity</t>
  </si>
  <si>
    <t>ΔAsset Turnover</t>
  </si>
  <si>
    <t>F-Score</t>
  </si>
  <si>
    <t>Signal</t>
  </si>
  <si>
    <t>F-Score Contribution</t>
  </si>
  <si>
    <t>Daily Returns</t>
  </si>
  <si>
    <t>Accruals</t>
  </si>
  <si>
    <t>10K for the fiscal year ending 12/31/25</t>
  </si>
  <si>
    <t>Yahoo! Finance</t>
  </si>
  <si>
    <t>8K earnings release filed 2/3/26; Yahoo! Finance</t>
  </si>
  <si>
    <t>10K for the fiscal year ending 12/31/25; Yahoo! Finance</t>
  </si>
  <si>
    <t>SEC Form 4 filings</t>
  </si>
  <si>
    <t>As-Of</t>
  </si>
  <si>
    <t>Earnings Surprise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</si>
</sst>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5" fontId="0" fillId="0" borderId="0" xfId="0" applyNumberFormat="1"/>
    <xf numFmtId="4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1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 applyAlignment="1">
      <alignment wrapText="1"/>
    </xf>
    <xf numFmtId="14" fontId="0" fillId="0" borderId="5" xfId="0" applyNumberForma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Fill="1" applyBorder="1"/>
    <xf numFmtId="0" fontId="0" fillId="0" borderId="0" xfId="0" applyFill="1" applyBorder="1"/>
    <xf numFmtId="3" fontId="0" fillId="0" borderId="0" xfId="0" applyNumberFormat="1" applyAlignment="1">
      <alignment wrapText="1"/>
    </xf>
    <xf numFmtId="173" fontId="0" fillId="0" borderId="0" xfId="0" applyNumberFormat="1" applyBorder="1"/>
    <xf numFmtId="173" fontId="0" fillId="0" borderId="4" xfId="0" applyNumberFormat="1" applyBorder="1"/>
    <xf numFmtId="14" fontId="0" fillId="0" borderId="2" xfId="0" applyNumberFormat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arlotte Park" id="{8FEAD356-990C-034B-9146-BA046D747572}" userId="S::cispark@mit.edu::09a2bc36-ce9d-4b54-85f8-3c7cf5a2403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1" dT="2026-04-30T18:46:57.93" personId="{8FEAD356-990C-034B-9146-BA046D747572}" id="{C30FA555-917D-4E4E-BDD8-04A6901E0748}">
    <text>Calculated from Yahoo! Finance data as of 4/30/26, see Historical Data tab.</text>
  </threadedComment>
  <threadedComment ref="B40" dT="2026-04-30T19:10:44.63" personId="{8FEAD356-990C-034B-9146-BA046D747572}" id="{7533A8CF-3B15-4241-8E88-9F4C52ACCF73}">
    <text>Calculated from data pulled from Yahoo! Finance on 4/30/26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98C2-17AF-914E-9344-D091DB3D7BFA}">
  <dimension ref="A1:I53"/>
  <sheetViews>
    <sheetView tabSelected="1" topLeftCell="A2" workbookViewId="0">
      <selection activeCell="G40" sqref="G40"/>
    </sheetView>
  </sheetViews>
  <sheetFormatPr baseColWidth="10" defaultRowHeight="16" x14ac:dyDescent="0.2"/>
  <cols>
    <col min="1" max="1" width="24.83203125" style="3" customWidth="1"/>
    <col min="2" max="2" width="14.6640625" customWidth="1"/>
    <col min="3" max="3" width="27" customWidth="1"/>
    <col min="5" max="5" width="15.83203125" customWidth="1"/>
    <col min="6" max="6" width="10.83203125" customWidth="1"/>
    <col min="7" max="7" width="26.6640625" customWidth="1"/>
    <col min="8" max="8" width="15.83203125" customWidth="1"/>
  </cols>
  <sheetData>
    <row r="1" spans="1:9" x14ac:dyDescent="0.2">
      <c r="B1" t="s">
        <v>2</v>
      </c>
      <c r="C1" t="s">
        <v>3</v>
      </c>
      <c r="E1" t="s">
        <v>72</v>
      </c>
      <c r="F1" t="s">
        <v>2</v>
      </c>
      <c r="G1" t="s">
        <v>73</v>
      </c>
    </row>
    <row r="2" spans="1:9" ht="17" x14ac:dyDescent="0.2">
      <c r="A2" s="3" t="s">
        <v>0</v>
      </c>
      <c r="B2" s="1">
        <v>208160</v>
      </c>
      <c r="C2" t="s">
        <v>7</v>
      </c>
      <c r="E2" t="s">
        <v>55</v>
      </c>
      <c r="F2">
        <f>B11/B2</f>
        <v>3.7331860107609534E-2</v>
      </c>
      <c r="G2">
        <v>1</v>
      </c>
    </row>
    <row r="3" spans="1:9" ht="17" x14ac:dyDescent="0.2">
      <c r="A3" s="3" t="s">
        <v>1</v>
      </c>
      <c r="B3" s="1">
        <v>121385</v>
      </c>
      <c r="C3" t="s">
        <v>7</v>
      </c>
      <c r="E3" t="s">
        <v>56</v>
      </c>
      <c r="F3" s="1">
        <f>B12</f>
        <v>11704</v>
      </c>
      <c r="G3">
        <v>1</v>
      </c>
    </row>
    <row r="4" spans="1:9" ht="17" x14ac:dyDescent="0.2">
      <c r="A4" s="3" t="s">
        <v>4</v>
      </c>
      <c r="B4" s="21">
        <v>141580</v>
      </c>
      <c r="C4" t="s">
        <v>5</v>
      </c>
      <c r="E4" t="s">
        <v>57</v>
      </c>
      <c r="F4">
        <f>F2 - B46/B45</f>
        <v>-3.0239732926838625E-4</v>
      </c>
      <c r="G4">
        <v>0</v>
      </c>
    </row>
    <row r="5" spans="1:9" ht="17" x14ac:dyDescent="0.2">
      <c r="A5" s="4" t="s">
        <v>6</v>
      </c>
      <c r="B5">
        <f>(B2-B3)/B4</f>
        <v>0.61290436502330836</v>
      </c>
      <c r="E5" t="s">
        <v>13</v>
      </c>
      <c r="F5">
        <f>B13</f>
        <v>-1.8894119907763258E-2</v>
      </c>
      <c r="G5">
        <v>0</v>
      </c>
    </row>
    <row r="6" spans="1:9" x14ac:dyDescent="0.2">
      <c r="E6" t="s">
        <v>61</v>
      </c>
      <c r="F6">
        <f>B44/B2 - B47/B45</f>
        <v>2.7116257762954288E-2</v>
      </c>
      <c r="G6">
        <v>0</v>
      </c>
    </row>
    <row r="7" spans="1:9" ht="17" x14ac:dyDescent="0.2">
      <c r="A7" s="3" t="s">
        <v>8</v>
      </c>
      <c r="B7" s="1">
        <v>16067</v>
      </c>
      <c r="C7" t="s">
        <v>7</v>
      </c>
      <c r="E7" t="s">
        <v>69</v>
      </c>
      <c r="F7">
        <f>B43/B42 - B48/B49</f>
        <v>8.3512091191070281E-3</v>
      </c>
      <c r="G7">
        <v>1</v>
      </c>
    </row>
    <row r="8" spans="1:9" ht="17" x14ac:dyDescent="0.2">
      <c r="A8" s="3" t="s">
        <v>9</v>
      </c>
      <c r="B8" s="1">
        <v>62579</v>
      </c>
      <c r="C8" t="s">
        <v>7</v>
      </c>
      <c r="E8" t="s">
        <v>64</v>
      </c>
      <c r="F8" s="1">
        <f>B26-B50</f>
        <v>19.267431000000215</v>
      </c>
      <c r="G8">
        <v>0</v>
      </c>
    </row>
    <row r="9" spans="1:9" ht="17" x14ac:dyDescent="0.2">
      <c r="A9" s="4" t="s">
        <v>10</v>
      </c>
      <c r="B9">
        <f>(B8-B7)/B2</f>
        <v>0.22344350499615681</v>
      </c>
      <c r="E9" t="s">
        <v>68</v>
      </c>
      <c r="F9">
        <f>(B8-B7)/B8 - (B52-B51)/B52</f>
        <v>2.3809525047325253E-2</v>
      </c>
      <c r="G9">
        <v>1</v>
      </c>
    </row>
    <row r="10" spans="1:9" x14ac:dyDescent="0.2">
      <c r="E10" t="s">
        <v>70</v>
      </c>
      <c r="F10">
        <f>B8/B2 - B52/B45</f>
        <v>2.465346765427201E-3</v>
      </c>
      <c r="G10">
        <v>1</v>
      </c>
    </row>
    <row r="11" spans="1:9" ht="17" x14ac:dyDescent="0.2">
      <c r="A11" s="3" t="s">
        <v>11</v>
      </c>
      <c r="B11" s="1">
        <v>7771</v>
      </c>
      <c r="C11" t="s">
        <v>7</v>
      </c>
      <c r="E11" s="2" t="s">
        <v>71</v>
      </c>
      <c r="G11">
        <f>SUM(G2:G10)</f>
        <v>5</v>
      </c>
    </row>
    <row r="12" spans="1:9" ht="17" x14ac:dyDescent="0.2">
      <c r="A12" s="3" t="s">
        <v>12</v>
      </c>
      <c r="B12" s="1">
        <v>11704</v>
      </c>
      <c r="C12" t="s">
        <v>7</v>
      </c>
    </row>
    <row r="13" spans="1:9" ht="17" x14ac:dyDescent="0.2">
      <c r="A13" s="4" t="s">
        <v>13</v>
      </c>
      <c r="B13">
        <f>(B11-B12)/B2</f>
        <v>-1.8894119907763258E-2</v>
      </c>
      <c r="E13" s="16" t="s">
        <v>72</v>
      </c>
      <c r="F13" s="17" t="s">
        <v>2</v>
      </c>
      <c r="G13" s="17" t="s">
        <v>3</v>
      </c>
      <c r="H13" s="18" t="s">
        <v>81</v>
      </c>
      <c r="I13" s="19"/>
    </row>
    <row r="14" spans="1:9" ht="17" x14ac:dyDescent="0.2">
      <c r="E14" s="11" t="s">
        <v>30</v>
      </c>
      <c r="F14" s="9">
        <v>0</v>
      </c>
      <c r="G14" s="10" t="s">
        <v>80</v>
      </c>
      <c r="H14" s="12">
        <v>46139</v>
      </c>
    </row>
    <row r="15" spans="1:9" ht="34" x14ac:dyDescent="0.2">
      <c r="A15" s="3" t="s">
        <v>17</v>
      </c>
      <c r="B15" s="1">
        <v>9678</v>
      </c>
      <c r="C15" t="s">
        <v>7</v>
      </c>
      <c r="E15" s="11" t="s">
        <v>6</v>
      </c>
      <c r="F15" s="22">
        <v>0.61290436502330836</v>
      </c>
      <c r="G15" s="10" t="s">
        <v>79</v>
      </c>
      <c r="H15" s="24">
        <v>46022</v>
      </c>
      <c r="I15" s="20"/>
    </row>
    <row r="16" spans="1:9" ht="17" x14ac:dyDescent="0.2">
      <c r="A16" s="3" t="s">
        <v>14</v>
      </c>
      <c r="B16" s="1">
        <v>6757</v>
      </c>
      <c r="C16" t="s">
        <v>7</v>
      </c>
      <c r="E16" s="11" t="s">
        <v>51</v>
      </c>
      <c r="F16" s="22">
        <v>-0.12367470955157112</v>
      </c>
      <c r="G16" s="10" t="s">
        <v>77</v>
      </c>
      <c r="H16" s="12">
        <v>46112</v>
      </c>
    </row>
    <row r="17" spans="1:8" ht="34" x14ac:dyDescent="0.2">
      <c r="A17" s="3" t="s">
        <v>20</v>
      </c>
      <c r="B17" s="1">
        <v>0</v>
      </c>
      <c r="C17" t="s">
        <v>7</v>
      </c>
      <c r="E17" s="11" t="s">
        <v>10</v>
      </c>
      <c r="F17" s="22">
        <v>0.22344350499615681</v>
      </c>
      <c r="G17" s="10" t="s">
        <v>76</v>
      </c>
      <c r="H17" s="12">
        <v>46022</v>
      </c>
    </row>
    <row r="18" spans="1:8" ht="34" x14ac:dyDescent="0.2">
      <c r="A18" s="3" t="s">
        <v>21</v>
      </c>
      <c r="B18" s="1">
        <v>2199</v>
      </c>
      <c r="C18" t="s">
        <v>7</v>
      </c>
      <c r="E18" s="11" t="s">
        <v>82</v>
      </c>
      <c r="F18" s="22">
        <v>-1.1205564142194745E-2</v>
      </c>
      <c r="G18" s="10" t="s">
        <v>78</v>
      </c>
      <c r="H18" s="12">
        <v>46056</v>
      </c>
    </row>
    <row r="19" spans="1:8" ht="51" x14ac:dyDescent="0.2">
      <c r="A19" s="3" t="s">
        <v>22</v>
      </c>
      <c r="B19">
        <v>796</v>
      </c>
      <c r="C19" t="s">
        <v>7</v>
      </c>
      <c r="E19" s="11" t="s">
        <v>43</v>
      </c>
      <c r="F19" s="22">
        <v>-8.5007727975270481E-3</v>
      </c>
      <c r="G19" s="10" t="s">
        <v>78</v>
      </c>
      <c r="H19" s="12">
        <v>46056</v>
      </c>
    </row>
    <row r="20" spans="1:8" ht="34" x14ac:dyDescent="0.2">
      <c r="A20" s="3" t="s">
        <v>15</v>
      </c>
      <c r="B20" s="1">
        <f>B15-B16 + B17-B18-B19</f>
        <v>-74</v>
      </c>
      <c r="E20" s="11" t="s">
        <v>71</v>
      </c>
      <c r="F20" s="9">
        <v>5</v>
      </c>
      <c r="G20" s="10" t="s">
        <v>76</v>
      </c>
      <c r="H20" s="12">
        <v>46022</v>
      </c>
    </row>
    <row r="21" spans="1:8" ht="34" x14ac:dyDescent="0.2">
      <c r="A21" s="3" t="s">
        <v>16</v>
      </c>
      <c r="B21">
        <v>0</v>
      </c>
      <c r="C21" t="s">
        <v>24</v>
      </c>
      <c r="E21" s="11" t="s">
        <v>23</v>
      </c>
      <c r="F21" s="22">
        <v>-3.5549577248270562E-4</v>
      </c>
      <c r="G21" s="10" t="s">
        <v>76</v>
      </c>
      <c r="H21" s="12">
        <v>46022</v>
      </c>
    </row>
    <row r="22" spans="1:8" ht="34" x14ac:dyDescent="0.2">
      <c r="A22" s="3" t="s">
        <v>18</v>
      </c>
      <c r="B22" s="1">
        <v>0</v>
      </c>
      <c r="C22" t="s">
        <v>24</v>
      </c>
      <c r="E22" s="11" t="s">
        <v>38</v>
      </c>
      <c r="F22" s="22">
        <v>1.5891299915780262E-2</v>
      </c>
      <c r="G22" s="10" t="s">
        <v>77</v>
      </c>
      <c r="H22" s="12">
        <v>46142</v>
      </c>
    </row>
    <row r="23" spans="1:8" ht="34" x14ac:dyDescent="0.2">
      <c r="A23" s="3" t="s">
        <v>19</v>
      </c>
      <c r="B23" s="1">
        <f>B21-B22</f>
        <v>0</v>
      </c>
      <c r="E23" s="13" t="s">
        <v>75</v>
      </c>
      <c r="F23" s="23">
        <v>-1.8894119907763258E-2</v>
      </c>
      <c r="G23" s="14" t="s">
        <v>76</v>
      </c>
      <c r="H23" s="15">
        <v>46022</v>
      </c>
    </row>
    <row r="24" spans="1:8" ht="17" x14ac:dyDescent="0.2">
      <c r="A24" s="4" t="s">
        <v>23</v>
      </c>
      <c r="B24">
        <f>(B23+B20)/B2</f>
        <v>-3.5549577248270562E-4</v>
      </c>
    </row>
    <row r="26" spans="1:8" ht="17" x14ac:dyDescent="0.2">
      <c r="A26" s="3" t="s">
        <v>25</v>
      </c>
      <c r="B26" s="1">
        <v>5686.2674310000002</v>
      </c>
      <c r="C26" t="s">
        <v>26</v>
      </c>
    </row>
    <row r="27" spans="1:8" ht="34" x14ac:dyDescent="0.2">
      <c r="A27" s="3" t="s">
        <v>27</v>
      </c>
      <c r="B27">
        <v>0</v>
      </c>
      <c r="C27" t="s">
        <v>29</v>
      </c>
    </row>
    <row r="28" spans="1:8" ht="34" x14ac:dyDescent="0.2">
      <c r="A28" s="3" t="s">
        <v>28</v>
      </c>
      <c r="B28">
        <v>0</v>
      </c>
      <c r="C28" t="s">
        <v>29</v>
      </c>
    </row>
    <row r="29" spans="1:8" ht="17" x14ac:dyDescent="0.2">
      <c r="A29" s="4" t="s">
        <v>30</v>
      </c>
      <c r="B29">
        <f>(B28 + B27)/B26</f>
        <v>0</v>
      </c>
    </row>
    <row r="31" spans="1:8" ht="17" x14ac:dyDescent="0.2">
      <c r="A31" s="4" t="s">
        <v>38</v>
      </c>
      <c r="B31">
        <f>STDEV('Historical Data PFE'!I2:I253)</f>
        <v>1.5891299915780262E-2</v>
      </c>
    </row>
    <row r="33" spans="1:3" ht="34" x14ac:dyDescent="0.2">
      <c r="A33" s="3" t="s">
        <v>40</v>
      </c>
      <c r="B33">
        <v>-0.28999999999999998</v>
      </c>
      <c r="C33" t="s">
        <v>42</v>
      </c>
    </row>
    <row r="34" spans="1:3" ht="34" x14ac:dyDescent="0.2">
      <c r="A34" s="3" t="s">
        <v>41</v>
      </c>
      <c r="B34">
        <v>-7.0000000000000007E-2</v>
      </c>
      <c r="C34" t="s">
        <v>42</v>
      </c>
    </row>
    <row r="35" spans="1:3" ht="17" x14ac:dyDescent="0.2">
      <c r="A35" s="4" t="s">
        <v>43</v>
      </c>
      <c r="B35">
        <f>(B33-B34)/'Historical Data PFE'!F68</f>
        <v>-8.5007727975270481E-3</v>
      </c>
    </row>
    <row r="37" spans="1:3" ht="34" x14ac:dyDescent="0.2">
      <c r="A37" s="3" t="s">
        <v>44</v>
      </c>
      <c r="B37">
        <v>0.39</v>
      </c>
      <c r="C37" t="s">
        <v>39</v>
      </c>
    </row>
    <row r="38" spans="1:3" ht="17" x14ac:dyDescent="0.2">
      <c r="A38" s="4" t="s">
        <v>82</v>
      </c>
      <c r="B38">
        <f>(B33-B39)/'Historical Data PFE'!F68</f>
        <v>-1.1205564142194745E-2</v>
      </c>
    </row>
    <row r="40" spans="1:3" ht="17" x14ac:dyDescent="0.2">
      <c r="A40" s="4" t="s">
        <v>51</v>
      </c>
      <c r="B40" s="7" cm="1">
        <f t="array" ref="B40">PRODUCT('Historical Monthly Data'!J3:J14+1)-1</f>
        <v>-0.12367470955157112</v>
      </c>
    </row>
    <row r="42" spans="1:3" ht="17" x14ac:dyDescent="0.2">
      <c r="A42" s="3" t="s">
        <v>52</v>
      </c>
      <c r="B42" s="1">
        <v>42898</v>
      </c>
      <c r="C42" t="s">
        <v>7</v>
      </c>
    </row>
    <row r="43" spans="1:3" ht="17" x14ac:dyDescent="0.2">
      <c r="A43" s="3" t="s">
        <v>53</v>
      </c>
      <c r="B43" s="1">
        <v>36984</v>
      </c>
      <c r="C43" t="s">
        <v>7</v>
      </c>
    </row>
    <row r="44" spans="1:3" ht="17" x14ac:dyDescent="0.2">
      <c r="A44" s="3" t="s">
        <v>54</v>
      </c>
      <c r="B44" s="1">
        <v>61641</v>
      </c>
      <c r="C44" t="s">
        <v>7</v>
      </c>
    </row>
    <row r="45" spans="1:3" ht="17" x14ac:dyDescent="0.2">
      <c r="A45" s="3" t="s">
        <v>58</v>
      </c>
      <c r="B45" s="1">
        <v>213396</v>
      </c>
      <c r="C45" t="s">
        <v>7</v>
      </c>
    </row>
    <row r="46" spans="1:3" ht="17" x14ac:dyDescent="0.2">
      <c r="A46" s="3" t="s">
        <v>59</v>
      </c>
      <c r="B46" s="1">
        <v>8031</v>
      </c>
      <c r="C46" t="s">
        <v>7</v>
      </c>
    </row>
    <row r="47" spans="1:3" ht="17" x14ac:dyDescent="0.2">
      <c r="A47" s="3" t="s">
        <v>60</v>
      </c>
      <c r="B47" s="1">
        <v>57405</v>
      </c>
      <c r="C47" t="s">
        <v>7</v>
      </c>
    </row>
    <row r="48" spans="1:3" ht="17" x14ac:dyDescent="0.2">
      <c r="A48" s="3" t="s">
        <v>62</v>
      </c>
      <c r="B48" s="1">
        <v>42995</v>
      </c>
      <c r="C48" t="s">
        <v>7</v>
      </c>
    </row>
    <row r="49" spans="1:3" ht="17" x14ac:dyDescent="0.2">
      <c r="A49" s="3" t="s">
        <v>63</v>
      </c>
      <c r="B49" s="1">
        <v>50358</v>
      </c>
      <c r="C49" t="s">
        <v>7</v>
      </c>
    </row>
    <row r="50" spans="1:3" ht="17" x14ac:dyDescent="0.2">
      <c r="A50" s="3" t="s">
        <v>65</v>
      </c>
      <c r="B50" s="1">
        <v>5667</v>
      </c>
      <c r="C50" t="s">
        <v>7</v>
      </c>
    </row>
    <row r="51" spans="1:3" ht="17" x14ac:dyDescent="0.2">
      <c r="A51" s="3" t="s">
        <v>66</v>
      </c>
      <c r="B51" s="1">
        <v>17851</v>
      </c>
      <c r="C51" t="s">
        <v>7</v>
      </c>
    </row>
    <row r="52" spans="1:3" ht="17" x14ac:dyDescent="0.2">
      <c r="A52" s="3" t="s">
        <v>67</v>
      </c>
      <c r="B52" s="1">
        <v>63627</v>
      </c>
      <c r="C52" t="s">
        <v>7</v>
      </c>
    </row>
    <row r="53" spans="1:3" x14ac:dyDescent="0.2">
      <c r="B53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8749-C38B-7E49-9E0E-BC913A61A2F6}">
  <dimension ref="A1:I274"/>
  <sheetViews>
    <sheetView workbookViewId="0">
      <selection activeCell="I274" sqref="I274"/>
    </sheetView>
  </sheetViews>
  <sheetFormatPr baseColWidth="10" defaultRowHeight="16" x14ac:dyDescent="0.2"/>
  <cols>
    <col min="9" max="9" width="13" customWidth="1"/>
  </cols>
  <sheetData>
    <row r="1" spans="1:9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I1" t="s">
        <v>74</v>
      </c>
    </row>
    <row r="2" spans="1:9" x14ac:dyDescent="0.2">
      <c r="A2" s="5">
        <v>46142</v>
      </c>
      <c r="B2">
        <v>26.39</v>
      </c>
      <c r="C2">
        <v>26.91</v>
      </c>
      <c r="D2">
        <v>26.27</v>
      </c>
      <c r="E2">
        <v>26.64</v>
      </c>
      <c r="F2">
        <v>26.64</v>
      </c>
      <c r="G2" s="1">
        <v>18475034</v>
      </c>
      <c r="I2">
        <f>(F2-F3)/F3</f>
        <v>1.4470677837014431E-2</v>
      </c>
    </row>
    <row r="3" spans="1:9" x14ac:dyDescent="0.2">
      <c r="A3" s="5">
        <v>46141</v>
      </c>
      <c r="B3">
        <v>26.36</v>
      </c>
      <c r="C3">
        <v>26.55</v>
      </c>
      <c r="D3">
        <v>26.2</v>
      </c>
      <c r="E3">
        <v>26.26</v>
      </c>
      <c r="F3">
        <v>26.26</v>
      </c>
      <c r="G3" s="1">
        <v>29904300</v>
      </c>
      <c r="I3">
        <f t="shared" ref="I3:I66" si="0">(F3-F4)/F4</f>
        <v>-8.308157099697842E-3</v>
      </c>
    </row>
    <row r="4" spans="1:9" x14ac:dyDescent="0.2">
      <c r="A4" s="5">
        <v>46140</v>
      </c>
      <c r="B4">
        <v>27.53</v>
      </c>
      <c r="C4">
        <v>27.58</v>
      </c>
      <c r="D4">
        <v>26.32</v>
      </c>
      <c r="E4">
        <v>26.48</v>
      </c>
      <c r="F4">
        <v>26.48</v>
      </c>
      <c r="G4" s="1">
        <v>58079000</v>
      </c>
      <c r="I4">
        <f t="shared" si="0"/>
        <v>-1.1571481896229889E-2</v>
      </c>
    </row>
    <row r="5" spans="1:9" x14ac:dyDescent="0.2">
      <c r="A5" s="5">
        <v>46139</v>
      </c>
      <c r="B5">
        <v>27.06</v>
      </c>
      <c r="C5">
        <v>27.35</v>
      </c>
      <c r="D5">
        <v>26.79</v>
      </c>
      <c r="E5">
        <v>26.79</v>
      </c>
      <c r="F5">
        <v>26.79</v>
      </c>
      <c r="G5" s="1">
        <v>34764200</v>
      </c>
      <c r="I5">
        <f t="shared" si="0"/>
        <v>-7.7777777777778096E-3</v>
      </c>
    </row>
    <row r="6" spans="1:9" x14ac:dyDescent="0.2">
      <c r="A6" s="5">
        <v>46136</v>
      </c>
      <c r="B6">
        <v>26.69</v>
      </c>
      <c r="C6">
        <v>27.3</v>
      </c>
      <c r="D6">
        <v>26.58</v>
      </c>
      <c r="E6">
        <v>27</v>
      </c>
      <c r="F6">
        <v>27</v>
      </c>
      <c r="G6" s="1">
        <v>42500200</v>
      </c>
      <c r="I6">
        <f t="shared" si="0"/>
        <v>1.2373453318335143E-2</v>
      </c>
    </row>
    <row r="7" spans="1:9" x14ac:dyDescent="0.2">
      <c r="A7" s="5">
        <v>46135</v>
      </c>
      <c r="B7">
        <v>26.76</v>
      </c>
      <c r="C7">
        <v>26.83</v>
      </c>
      <c r="D7">
        <v>26.38</v>
      </c>
      <c r="E7">
        <v>26.67</v>
      </c>
      <c r="F7">
        <v>26.67</v>
      </c>
      <c r="G7" s="1">
        <v>38718400</v>
      </c>
      <c r="I7">
        <f t="shared" si="0"/>
        <v>-4.8507462686566789E-3</v>
      </c>
    </row>
    <row r="8" spans="1:9" x14ac:dyDescent="0.2">
      <c r="A8" s="5">
        <v>46134</v>
      </c>
      <c r="B8">
        <v>27.35</v>
      </c>
      <c r="C8">
        <v>27.39</v>
      </c>
      <c r="D8">
        <v>26.74</v>
      </c>
      <c r="E8">
        <v>26.8</v>
      </c>
      <c r="F8">
        <v>26.8</v>
      </c>
      <c r="G8" s="1">
        <v>35246800</v>
      </c>
      <c r="I8">
        <f t="shared" si="0"/>
        <v>-1.8674478213108678E-2</v>
      </c>
    </row>
    <row r="9" spans="1:9" x14ac:dyDescent="0.2">
      <c r="A9" s="5">
        <v>46133</v>
      </c>
      <c r="B9">
        <v>27.52</v>
      </c>
      <c r="C9">
        <v>27.62</v>
      </c>
      <c r="D9">
        <v>27.2</v>
      </c>
      <c r="E9">
        <v>27.31</v>
      </c>
      <c r="F9">
        <v>27.31</v>
      </c>
      <c r="G9" s="1">
        <v>29833000</v>
      </c>
      <c r="I9">
        <f t="shared" si="0"/>
        <v>-7.630813953488403E-3</v>
      </c>
    </row>
    <row r="10" spans="1:9" x14ac:dyDescent="0.2">
      <c r="A10" s="5">
        <v>46132</v>
      </c>
      <c r="B10">
        <v>27.59</v>
      </c>
      <c r="C10">
        <v>27.85</v>
      </c>
      <c r="D10">
        <v>27.51</v>
      </c>
      <c r="E10">
        <v>27.52</v>
      </c>
      <c r="F10">
        <v>27.52</v>
      </c>
      <c r="G10" s="1">
        <v>25023000</v>
      </c>
      <c r="I10">
        <f t="shared" si="0"/>
        <v>-1.4513788098693451E-3</v>
      </c>
    </row>
    <row r="11" spans="1:9" x14ac:dyDescent="0.2">
      <c r="A11" s="5">
        <v>46129</v>
      </c>
      <c r="B11">
        <v>27.33</v>
      </c>
      <c r="C11">
        <v>27.67</v>
      </c>
      <c r="D11">
        <v>27.12</v>
      </c>
      <c r="E11">
        <v>27.56</v>
      </c>
      <c r="F11">
        <v>27.56</v>
      </c>
      <c r="G11" s="1">
        <v>30080400</v>
      </c>
      <c r="I11">
        <f t="shared" si="0"/>
        <v>1.2490815576781774E-2</v>
      </c>
    </row>
    <row r="12" spans="1:9" x14ac:dyDescent="0.2">
      <c r="A12" s="5">
        <v>46128</v>
      </c>
      <c r="B12">
        <v>27.21</v>
      </c>
      <c r="C12">
        <v>27.48</v>
      </c>
      <c r="D12">
        <v>27.15</v>
      </c>
      <c r="E12">
        <v>27.22</v>
      </c>
      <c r="F12">
        <v>27.22</v>
      </c>
      <c r="G12" s="1">
        <v>21905300</v>
      </c>
      <c r="I12">
        <f t="shared" si="0"/>
        <v>1.1033468186832506E-3</v>
      </c>
    </row>
    <row r="13" spans="1:9" x14ac:dyDescent="0.2">
      <c r="A13" s="5">
        <v>46127</v>
      </c>
      <c r="B13">
        <v>27.18</v>
      </c>
      <c r="C13">
        <v>27.36</v>
      </c>
      <c r="D13">
        <v>26.97</v>
      </c>
      <c r="E13">
        <v>27.19</v>
      </c>
      <c r="F13">
        <v>27.19</v>
      </c>
      <c r="G13" s="1">
        <v>29648900</v>
      </c>
      <c r="I13">
        <f t="shared" si="0"/>
        <v>2.9509406123202453E-3</v>
      </c>
    </row>
    <row r="14" spans="1:9" x14ac:dyDescent="0.2">
      <c r="A14" s="5">
        <v>46126</v>
      </c>
      <c r="B14">
        <v>27.2</v>
      </c>
      <c r="C14">
        <v>27.31</v>
      </c>
      <c r="D14">
        <v>27.08</v>
      </c>
      <c r="E14">
        <v>27.11</v>
      </c>
      <c r="F14">
        <v>27.11</v>
      </c>
      <c r="G14" s="1">
        <v>24558900</v>
      </c>
      <c r="I14">
        <f t="shared" si="0"/>
        <v>-8.412582297000747E-3</v>
      </c>
    </row>
    <row r="15" spans="1:9" x14ac:dyDescent="0.2">
      <c r="A15" s="5">
        <v>46125</v>
      </c>
      <c r="B15">
        <v>26.83</v>
      </c>
      <c r="C15">
        <v>27.57</v>
      </c>
      <c r="D15">
        <v>26.68</v>
      </c>
      <c r="E15">
        <v>27.34</v>
      </c>
      <c r="F15">
        <v>27.34</v>
      </c>
      <c r="G15" s="1">
        <v>44156200</v>
      </c>
      <c r="I15">
        <f t="shared" si="0"/>
        <v>1.5601783060921179E-2</v>
      </c>
    </row>
    <row r="16" spans="1:9" x14ac:dyDescent="0.2">
      <c r="A16" s="5">
        <v>46122</v>
      </c>
      <c r="B16">
        <v>27.32</v>
      </c>
      <c r="C16">
        <v>27.36</v>
      </c>
      <c r="D16">
        <v>26.77</v>
      </c>
      <c r="E16">
        <v>26.92</v>
      </c>
      <c r="F16">
        <v>26.92</v>
      </c>
      <c r="G16" s="1">
        <v>27882400</v>
      </c>
      <c r="I16">
        <f t="shared" si="0"/>
        <v>-1.1021307861866171E-2</v>
      </c>
    </row>
    <row r="17" spans="1:9" x14ac:dyDescent="0.2">
      <c r="A17" s="5">
        <v>46121</v>
      </c>
      <c r="B17">
        <v>27.21</v>
      </c>
      <c r="C17">
        <v>27.5</v>
      </c>
      <c r="D17">
        <v>27.18</v>
      </c>
      <c r="E17">
        <v>27.22</v>
      </c>
      <c r="F17">
        <v>27.22</v>
      </c>
      <c r="G17" s="1">
        <v>27047600</v>
      </c>
      <c r="I17">
        <f t="shared" si="0"/>
        <v>-9.1008372770294867E-3</v>
      </c>
    </row>
    <row r="18" spans="1:9" x14ac:dyDescent="0.2">
      <c r="A18" s="5">
        <v>46120</v>
      </c>
      <c r="B18">
        <v>27.25</v>
      </c>
      <c r="C18">
        <v>27.49</v>
      </c>
      <c r="D18">
        <v>26.97</v>
      </c>
      <c r="E18">
        <v>27.47</v>
      </c>
      <c r="F18">
        <v>27.47</v>
      </c>
      <c r="G18" s="1">
        <v>33789100</v>
      </c>
      <c r="I18">
        <f t="shared" si="0"/>
        <v>1.3653136531365219E-2</v>
      </c>
    </row>
    <row r="19" spans="1:9" x14ac:dyDescent="0.2">
      <c r="A19" s="5">
        <v>46119</v>
      </c>
      <c r="B19">
        <v>27.66</v>
      </c>
      <c r="C19">
        <v>27.68</v>
      </c>
      <c r="D19">
        <v>26.78</v>
      </c>
      <c r="E19">
        <v>27.1</v>
      </c>
      <c r="F19">
        <v>27.1</v>
      </c>
      <c r="G19" s="1">
        <v>46620500</v>
      </c>
      <c r="I19">
        <f t="shared" si="0"/>
        <v>-2.6230686309737582E-2</v>
      </c>
    </row>
    <row r="20" spans="1:9" x14ac:dyDescent="0.2">
      <c r="A20" s="5">
        <v>46118</v>
      </c>
      <c r="B20">
        <v>28.19</v>
      </c>
      <c r="C20">
        <v>28.23</v>
      </c>
      <c r="D20">
        <v>27.81</v>
      </c>
      <c r="E20">
        <v>27.83</v>
      </c>
      <c r="F20">
        <v>27.83</v>
      </c>
      <c r="G20" s="1">
        <v>25169300</v>
      </c>
      <c r="I20">
        <f t="shared" si="0"/>
        <v>-1.7302259887005719E-2</v>
      </c>
    </row>
    <row r="21" spans="1:9" x14ac:dyDescent="0.2">
      <c r="A21" s="5">
        <v>46114</v>
      </c>
      <c r="B21">
        <v>28.5</v>
      </c>
      <c r="C21">
        <v>28.75</v>
      </c>
      <c r="D21">
        <v>28.22</v>
      </c>
      <c r="E21">
        <v>28.32</v>
      </c>
      <c r="F21">
        <v>28.32</v>
      </c>
      <c r="G21" s="1">
        <v>30920600</v>
      </c>
      <c r="I21">
        <f t="shared" si="0"/>
        <v>-8.0560420315236581E-3</v>
      </c>
    </row>
    <row r="22" spans="1:9" x14ac:dyDescent="0.2">
      <c r="A22" s="5">
        <v>46113</v>
      </c>
      <c r="B22">
        <v>28.27</v>
      </c>
      <c r="C22">
        <v>28.64</v>
      </c>
      <c r="D22">
        <v>28.04</v>
      </c>
      <c r="E22">
        <v>28.55</v>
      </c>
      <c r="F22">
        <v>28.55</v>
      </c>
      <c r="G22" s="1">
        <v>44208500</v>
      </c>
      <c r="I22">
        <f t="shared" si="0"/>
        <v>1.6737891737891825E-2</v>
      </c>
    </row>
    <row r="23" spans="1:9" x14ac:dyDescent="0.2">
      <c r="A23" s="5">
        <v>46112</v>
      </c>
      <c r="B23">
        <v>27.99</v>
      </c>
      <c r="C23">
        <v>28.31</v>
      </c>
      <c r="D23">
        <v>27.79</v>
      </c>
      <c r="E23">
        <v>28.08</v>
      </c>
      <c r="F23">
        <v>28.08</v>
      </c>
      <c r="G23" s="1">
        <v>44841500</v>
      </c>
      <c r="I23">
        <f t="shared" si="0"/>
        <v>1.1163125675189007E-2</v>
      </c>
    </row>
    <row r="24" spans="1:9" x14ac:dyDescent="0.2">
      <c r="A24" s="5">
        <v>46111</v>
      </c>
      <c r="B24">
        <v>27.42</v>
      </c>
      <c r="C24">
        <v>27.82</v>
      </c>
      <c r="D24">
        <v>27.15</v>
      </c>
      <c r="E24">
        <v>27.77</v>
      </c>
      <c r="F24">
        <v>27.77</v>
      </c>
      <c r="G24" s="1">
        <v>46696000</v>
      </c>
      <c r="I24">
        <f t="shared" si="0"/>
        <v>2.699704142011836E-2</v>
      </c>
    </row>
    <row r="25" spans="1:9" x14ac:dyDescent="0.2">
      <c r="A25" s="5">
        <v>46108</v>
      </c>
      <c r="B25">
        <v>27.73</v>
      </c>
      <c r="C25">
        <v>27.77</v>
      </c>
      <c r="D25">
        <v>27.02</v>
      </c>
      <c r="E25">
        <v>27.04</v>
      </c>
      <c r="F25">
        <v>27.04</v>
      </c>
      <c r="G25" s="1">
        <v>29124600</v>
      </c>
      <c r="I25">
        <f t="shared" si="0"/>
        <v>-1.9223793978962681E-2</v>
      </c>
    </row>
    <row r="26" spans="1:9" x14ac:dyDescent="0.2">
      <c r="A26" s="5">
        <v>46107</v>
      </c>
      <c r="B26">
        <v>27.25</v>
      </c>
      <c r="C26">
        <v>27.81</v>
      </c>
      <c r="D26">
        <v>27.24</v>
      </c>
      <c r="E26">
        <v>27.57</v>
      </c>
      <c r="F26">
        <v>27.57</v>
      </c>
      <c r="G26" s="1">
        <v>28835000</v>
      </c>
      <c r="I26">
        <f t="shared" si="0"/>
        <v>1.0630498533724308E-2</v>
      </c>
    </row>
    <row r="27" spans="1:9" x14ac:dyDescent="0.2">
      <c r="A27" s="5">
        <v>46106</v>
      </c>
      <c r="B27">
        <v>27.18</v>
      </c>
      <c r="C27">
        <v>27.53</v>
      </c>
      <c r="D27">
        <v>27.04</v>
      </c>
      <c r="E27">
        <v>27.28</v>
      </c>
      <c r="F27">
        <v>27.28</v>
      </c>
      <c r="G27" s="1">
        <v>37603900</v>
      </c>
      <c r="I27">
        <f t="shared" si="0"/>
        <v>1.1869436201780426E-2</v>
      </c>
    </row>
    <row r="28" spans="1:9" x14ac:dyDescent="0.2">
      <c r="A28" s="5">
        <v>46105</v>
      </c>
      <c r="B28">
        <v>26.6</v>
      </c>
      <c r="C28">
        <v>27.13</v>
      </c>
      <c r="D28">
        <v>26.44</v>
      </c>
      <c r="E28">
        <v>26.96</v>
      </c>
      <c r="F28">
        <v>26.96</v>
      </c>
      <c r="G28" s="1">
        <v>35605300</v>
      </c>
      <c r="I28">
        <f t="shared" si="0"/>
        <v>7.0974971983564167E-3</v>
      </c>
    </row>
    <row r="29" spans="1:9" x14ac:dyDescent="0.2">
      <c r="A29" s="5">
        <v>46104</v>
      </c>
      <c r="B29">
        <v>27.03</v>
      </c>
      <c r="C29">
        <v>27.19</v>
      </c>
      <c r="D29">
        <v>26.63</v>
      </c>
      <c r="E29">
        <v>26.77</v>
      </c>
      <c r="F29">
        <v>26.77</v>
      </c>
      <c r="G29" s="1">
        <v>42945200</v>
      </c>
      <c r="I29">
        <f t="shared" si="0"/>
        <v>-7.4156470152020506E-3</v>
      </c>
    </row>
    <row r="30" spans="1:9" x14ac:dyDescent="0.2">
      <c r="A30" s="5">
        <v>46101</v>
      </c>
      <c r="B30">
        <v>27.41</v>
      </c>
      <c r="C30">
        <v>27.55</v>
      </c>
      <c r="D30">
        <v>26.8</v>
      </c>
      <c r="E30">
        <v>26.97</v>
      </c>
      <c r="F30">
        <v>26.97</v>
      </c>
      <c r="G30" s="1">
        <v>66805700</v>
      </c>
      <c r="I30">
        <f t="shared" si="0"/>
        <v>-1.605253557095955E-2</v>
      </c>
    </row>
    <row r="31" spans="1:9" x14ac:dyDescent="0.2">
      <c r="A31" s="5">
        <v>46100</v>
      </c>
      <c r="B31">
        <v>27.29</v>
      </c>
      <c r="C31">
        <v>27.73</v>
      </c>
      <c r="D31">
        <v>27.25</v>
      </c>
      <c r="E31">
        <v>27.41</v>
      </c>
      <c r="F31">
        <v>27.41</v>
      </c>
      <c r="G31" s="1">
        <v>47939600</v>
      </c>
      <c r="I31">
        <f t="shared" si="0"/>
        <v>3.2942898975109759E-3</v>
      </c>
    </row>
    <row r="32" spans="1:9" x14ac:dyDescent="0.2">
      <c r="A32" s="5">
        <v>46099</v>
      </c>
      <c r="B32">
        <v>27.14</v>
      </c>
      <c r="C32">
        <v>27.38</v>
      </c>
      <c r="D32">
        <v>26.84</v>
      </c>
      <c r="E32">
        <v>27.32</v>
      </c>
      <c r="F32">
        <v>27.32</v>
      </c>
      <c r="G32" s="1">
        <v>47478300</v>
      </c>
      <c r="I32">
        <f t="shared" si="0"/>
        <v>-4.7358834244079781E-3</v>
      </c>
    </row>
    <row r="33" spans="1:9" x14ac:dyDescent="0.2">
      <c r="A33" s="5">
        <v>46098</v>
      </c>
      <c r="B33">
        <v>26.82</v>
      </c>
      <c r="C33">
        <v>27.76</v>
      </c>
      <c r="D33">
        <v>26.82</v>
      </c>
      <c r="E33">
        <v>27.45</v>
      </c>
      <c r="F33">
        <v>27.45</v>
      </c>
      <c r="G33" s="1">
        <v>60097500</v>
      </c>
      <c r="I33">
        <f t="shared" si="0"/>
        <v>3.1567080045095827E-2</v>
      </c>
    </row>
    <row r="34" spans="1:9" x14ac:dyDescent="0.2">
      <c r="A34" s="5">
        <v>46097</v>
      </c>
      <c r="B34">
        <v>26.7</v>
      </c>
      <c r="C34">
        <v>26.89</v>
      </c>
      <c r="D34">
        <v>26.52</v>
      </c>
      <c r="E34">
        <v>26.61</v>
      </c>
      <c r="F34">
        <v>26.61</v>
      </c>
      <c r="G34" s="1">
        <v>28551500</v>
      </c>
      <c r="I34">
        <f t="shared" si="0"/>
        <v>1.1286681715576049E-3</v>
      </c>
    </row>
    <row r="35" spans="1:9" x14ac:dyDescent="0.2">
      <c r="A35" s="5">
        <v>46094</v>
      </c>
      <c r="B35">
        <v>27.02</v>
      </c>
      <c r="C35">
        <v>27.28</v>
      </c>
      <c r="D35">
        <v>26.58</v>
      </c>
      <c r="E35">
        <v>26.58</v>
      </c>
      <c r="F35">
        <v>26.58</v>
      </c>
      <c r="G35" s="1">
        <v>34270800</v>
      </c>
      <c r="I35">
        <f t="shared" si="0"/>
        <v>-1.0424422933730497E-2</v>
      </c>
    </row>
    <row r="36" spans="1:9" x14ac:dyDescent="0.2">
      <c r="A36" s="5">
        <v>46093</v>
      </c>
      <c r="B36">
        <v>27.11</v>
      </c>
      <c r="C36">
        <v>27.12</v>
      </c>
      <c r="D36">
        <v>26.63</v>
      </c>
      <c r="E36">
        <v>26.86</v>
      </c>
      <c r="F36">
        <v>26.86</v>
      </c>
      <c r="G36" s="1">
        <v>38542800</v>
      </c>
      <c r="I36">
        <f t="shared" si="0"/>
        <v>-1.6117216117216164E-2</v>
      </c>
    </row>
    <row r="37" spans="1:9" x14ac:dyDescent="0.2">
      <c r="A37" s="5">
        <v>46092</v>
      </c>
      <c r="B37">
        <v>27.2</v>
      </c>
      <c r="C37">
        <v>27.41</v>
      </c>
      <c r="D37">
        <v>27</v>
      </c>
      <c r="E37">
        <v>27.3</v>
      </c>
      <c r="F37">
        <v>27.3</v>
      </c>
      <c r="G37" s="1">
        <v>40560100</v>
      </c>
      <c r="I37">
        <f t="shared" si="0"/>
        <v>5.1546391752577527E-3</v>
      </c>
    </row>
    <row r="38" spans="1:9" x14ac:dyDescent="0.2">
      <c r="A38" s="5">
        <v>46091</v>
      </c>
      <c r="B38">
        <v>26.82</v>
      </c>
      <c r="C38">
        <v>27.29</v>
      </c>
      <c r="D38">
        <v>26.52</v>
      </c>
      <c r="E38">
        <v>27.16</v>
      </c>
      <c r="F38">
        <v>27.16</v>
      </c>
      <c r="G38" s="1">
        <v>42814600</v>
      </c>
      <c r="I38">
        <f t="shared" si="0"/>
        <v>1.3054830287206319E-2</v>
      </c>
    </row>
    <row r="39" spans="1:9" x14ac:dyDescent="0.2">
      <c r="A39" s="5">
        <v>46090</v>
      </c>
      <c r="B39">
        <v>26.91</v>
      </c>
      <c r="C39">
        <v>27.11</v>
      </c>
      <c r="D39">
        <v>26.36</v>
      </c>
      <c r="E39">
        <v>26.81</v>
      </c>
      <c r="F39">
        <v>26.81</v>
      </c>
      <c r="G39" s="1">
        <v>42789500</v>
      </c>
      <c r="I39">
        <f t="shared" si="0"/>
        <v>-8.8724584103512753E-3</v>
      </c>
    </row>
    <row r="40" spans="1:9" x14ac:dyDescent="0.2">
      <c r="A40" s="5">
        <v>46087</v>
      </c>
      <c r="B40">
        <v>26.54</v>
      </c>
      <c r="C40">
        <v>27.13</v>
      </c>
      <c r="D40">
        <v>26.23</v>
      </c>
      <c r="E40">
        <v>27.05</v>
      </c>
      <c r="F40">
        <v>27.05</v>
      </c>
      <c r="G40" s="1">
        <v>53181800</v>
      </c>
      <c r="I40">
        <f t="shared" si="0"/>
        <v>1.6535137166478815E-2</v>
      </c>
    </row>
    <row r="41" spans="1:9" x14ac:dyDescent="0.2">
      <c r="A41" s="5">
        <v>46086</v>
      </c>
      <c r="B41">
        <v>26.39</v>
      </c>
      <c r="C41">
        <v>26.71</v>
      </c>
      <c r="D41">
        <v>26.2</v>
      </c>
      <c r="E41">
        <v>26.61</v>
      </c>
      <c r="F41">
        <v>26.61</v>
      </c>
      <c r="G41" s="1">
        <v>38908600</v>
      </c>
      <c r="I41">
        <f t="shared" si="0"/>
        <v>-3.7565740045084761E-4</v>
      </c>
    </row>
    <row r="42" spans="1:9" x14ac:dyDescent="0.2">
      <c r="A42" s="5">
        <v>46085</v>
      </c>
      <c r="B42">
        <v>26.77</v>
      </c>
      <c r="C42">
        <v>26.78</v>
      </c>
      <c r="D42">
        <v>26.35</v>
      </c>
      <c r="E42">
        <v>26.62</v>
      </c>
      <c r="F42">
        <v>26.62</v>
      </c>
      <c r="G42" s="1">
        <v>30893500</v>
      </c>
      <c r="I42">
        <f t="shared" si="0"/>
        <v>1.5048908954101844E-3</v>
      </c>
    </row>
    <row r="43" spans="1:9" x14ac:dyDescent="0.2">
      <c r="A43" s="5">
        <v>46084</v>
      </c>
      <c r="B43">
        <v>26.72</v>
      </c>
      <c r="C43">
        <v>26.95</v>
      </c>
      <c r="D43">
        <v>26.35</v>
      </c>
      <c r="E43">
        <v>26.58</v>
      </c>
      <c r="F43">
        <v>26.58</v>
      </c>
      <c r="G43" s="1">
        <v>41486100</v>
      </c>
      <c r="I43">
        <f t="shared" si="0"/>
        <v>-2.494497432135008E-2</v>
      </c>
    </row>
    <row r="44" spans="1:9" x14ac:dyDescent="0.2">
      <c r="A44" s="5">
        <v>46083</v>
      </c>
      <c r="B44">
        <v>27.57</v>
      </c>
      <c r="C44">
        <v>27.61</v>
      </c>
      <c r="D44">
        <v>27.17</v>
      </c>
      <c r="E44">
        <v>27.26</v>
      </c>
      <c r="F44">
        <v>27.26</v>
      </c>
      <c r="G44" s="1">
        <v>41321700</v>
      </c>
      <c r="I44">
        <f t="shared" si="0"/>
        <v>-1.4104882459312731E-2</v>
      </c>
    </row>
    <row r="45" spans="1:9" x14ac:dyDescent="0.2">
      <c r="A45" s="5">
        <v>46080</v>
      </c>
      <c r="B45">
        <v>27.16</v>
      </c>
      <c r="C45">
        <v>27.67</v>
      </c>
      <c r="D45">
        <v>27.09</v>
      </c>
      <c r="E45">
        <v>27.65</v>
      </c>
      <c r="F45">
        <v>27.65</v>
      </c>
      <c r="G45" s="1">
        <v>41879700</v>
      </c>
      <c r="I45">
        <f t="shared" si="0"/>
        <v>2.0295202952029415E-2</v>
      </c>
    </row>
    <row r="46" spans="1:9" x14ac:dyDescent="0.2">
      <c r="A46" s="5">
        <v>46079</v>
      </c>
      <c r="B46">
        <v>27.26</v>
      </c>
      <c r="C46">
        <v>27.27</v>
      </c>
      <c r="D46">
        <v>26.87</v>
      </c>
      <c r="E46">
        <v>27.1</v>
      </c>
      <c r="F46">
        <v>27.1</v>
      </c>
      <c r="G46" s="1">
        <v>30508300</v>
      </c>
      <c r="I46">
        <f t="shared" si="0"/>
        <v>3.6913990402368267E-4</v>
      </c>
    </row>
    <row r="47" spans="1:9" x14ac:dyDescent="0.2">
      <c r="A47" s="5">
        <v>46078</v>
      </c>
      <c r="B47">
        <v>27.06</v>
      </c>
      <c r="C47">
        <v>27.29</v>
      </c>
      <c r="D47">
        <v>26.73</v>
      </c>
      <c r="E47">
        <v>27.09</v>
      </c>
      <c r="F47">
        <v>27.09</v>
      </c>
      <c r="G47" s="1">
        <v>32680300</v>
      </c>
      <c r="I47">
        <f t="shared" si="0"/>
        <v>-1.8422991893883827E-3</v>
      </c>
    </row>
    <row r="48" spans="1:9" x14ac:dyDescent="0.2">
      <c r="A48" s="5">
        <v>46077</v>
      </c>
      <c r="B48">
        <v>27.14</v>
      </c>
      <c r="C48">
        <v>27.42</v>
      </c>
      <c r="D48">
        <v>27.08</v>
      </c>
      <c r="E48">
        <v>27.14</v>
      </c>
      <c r="F48">
        <v>27.14</v>
      </c>
      <c r="G48" s="1">
        <v>34686100</v>
      </c>
      <c r="I48">
        <f t="shared" si="0"/>
        <v>2.9563932002957078E-3</v>
      </c>
    </row>
    <row r="49" spans="1:9" x14ac:dyDescent="0.2">
      <c r="A49" s="5">
        <v>46076</v>
      </c>
      <c r="B49">
        <v>26.56</v>
      </c>
      <c r="C49">
        <v>27.11</v>
      </c>
      <c r="D49">
        <v>26.5</v>
      </c>
      <c r="E49">
        <v>27.06</v>
      </c>
      <c r="F49">
        <v>27.06</v>
      </c>
      <c r="G49" s="1">
        <v>34166100</v>
      </c>
      <c r="I49">
        <f t="shared" si="0"/>
        <v>1.5384615384615391E-2</v>
      </c>
    </row>
    <row r="50" spans="1:9" x14ac:dyDescent="0.2">
      <c r="A50" s="5">
        <v>46073</v>
      </c>
      <c r="B50">
        <v>26.71</v>
      </c>
      <c r="C50">
        <v>26.78</v>
      </c>
      <c r="D50">
        <v>26.36</v>
      </c>
      <c r="E50">
        <v>26.65</v>
      </c>
      <c r="F50">
        <v>26.65</v>
      </c>
      <c r="G50" s="1">
        <v>44786900</v>
      </c>
      <c r="I50">
        <f t="shared" si="0"/>
        <v>-7.818317200297872E-3</v>
      </c>
    </row>
    <row r="51" spans="1:9" x14ac:dyDescent="0.2">
      <c r="A51" s="5">
        <v>46072</v>
      </c>
      <c r="B51">
        <v>27.37</v>
      </c>
      <c r="C51">
        <v>27.4</v>
      </c>
      <c r="D51">
        <v>26.58</v>
      </c>
      <c r="E51">
        <v>26.86</v>
      </c>
      <c r="F51">
        <v>26.86</v>
      </c>
      <c r="G51" s="1">
        <v>40316800</v>
      </c>
      <c r="I51">
        <f t="shared" si="0"/>
        <v>-1.8633540372670863E-2</v>
      </c>
    </row>
    <row r="52" spans="1:9" x14ac:dyDescent="0.2">
      <c r="A52" s="5">
        <v>46071</v>
      </c>
      <c r="B52">
        <v>27.44</v>
      </c>
      <c r="C52">
        <v>27.48</v>
      </c>
      <c r="D52">
        <v>27.21</v>
      </c>
      <c r="E52">
        <v>27.37</v>
      </c>
      <c r="F52">
        <v>27.37</v>
      </c>
      <c r="G52" s="1">
        <v>24779800</v>
      </c>
      <c r="I52">
        <f t="shared" si="0"/>
        <v>0</v>
      </c>
    </row>
    <row r="53" spans="1:9" x14ac:dyDescent="0.2">
      <c r="A53" s="5">
        <v>46070</v>
      </c>
      <c r="B53">
        <v>27.84</v>
      </c>
      <c r="C53">
        <v>27.87</v>
      </c>
      <c r="D53">
        <v>27.2</v>
      </c>
      <c r="E53">
        <v>27.37</v>
      </c>
      <c r="F53">
        <v>27.37</v>
      </c>
      <c r="G53" s="1">
        <v>32119900</v>
      </c>
      <c r="I53">
        <f t="shared" si="0"/>
        <v>-7.6142131979694454E-3</v>
      </c>
    </row>
    <row r="54" spans="1:9" x14ac:dyDescent="0.2">
      <c r="A54" s="5">
        <v>46066</v>
      </c>
      <c r="B54">
        <v>27.6</v>
      </c>
      <c r="C54">
        <v>27.94</v>
      </c>
      <c r="D54">
        <v>27.55</v>
      </c>
      <c r="E54">
        <v>27.58</v>
      </c>
      <c r="F54">
        <v>27.58</v>
      </c>
      <c r="G54" s="1">
        <v>36986700</v>
      </c>
      <c r="I54">
        <f t="shared" si="0"/>
        <v>4.0043684018929533E-3</v>
      </c>
    </row>
    <row r="55" spans="1:9" x14ac:dyDescent="0.2">
      <c r="A55" s="5">
        <v>46065</v>
      </c>
      <c r="B55">
        <v>27.65</v>
      </c>
      <c r="C55">
        <v>27.89</v>
      </c>
      <c r="D55">
        <v>27.41</v>
      </c>
      <c r="E55">
        <v>27.47</v>
      </c>
      <c r="F55">
        <v>27.47</v>
      </c>
      <c r="G55" s="1">
        <v>58805100</v>
      </c>
      <c r="I55">
        <f t="shared" si="0"/>
        <v>-9.3761269383339906E-3</v>
      </c>
    </row>
    <row r="56" spans="1:9" x14ac:dyDescent="0.2">
      <c r="A56" s="5">
        <v>46064</v>
      </c>
      <c r="B56">
        <v>27.55</v>
      </c>
      <c r="C56">
        <v>27.94</v>
      </c>
      <c r="D56">
        <v>27.31</v>
      </c>
      <c r="E56">
        <v>27.73</v>
      </c>
      <c r="F56">
        <v>27.73</v>
      </c>
      <c r="G56" s="1">
        <v>41699300</v>
      </c>
      <c r="I56">
        <f t="shared" si="0"/>
        <v>4.3462513582035855E-3</v>
      </c>
    </row>
    <row r="57" spans="1:9" x14ac:dyDescent="0.2">
      <c r="A57" s="5">
        <v>46063</v>
      </c>
      <c r="B57">
        <v>27.18</v>
      </c>
      <c r="C57">
        <v>27.73</v>
      </c>
      <c r="D57">
        <v>27.09</v>
      </c>
      <c r="E57">
        <v>27.61</v>
      </c>
      <c r="F57">
        <v>27.61</v>
      </c>
      <c r="G57" s="1">
        <v>43760600</v>
      </c>
      <c r="I57">
        <f t="shared" si="0"/>
        <v>2.0702402957486089E-2</v>
      </c>
    </row>
    <row r="58" spans="1:9" x14ac:dyDescent="0.2">
      <c r="A58" s="5">
        <v>46062</v>
      </c>
      <c r="B58">
        <v>27.18</v>
      </c>
      <c r="C58">
        <v>27.37</v>
      </c>
      <c r="D58">
        <v>26.79</v>
      </c>
      <c r="E58">
        <v>27.05</v>
      </c>
      <c r="F58">
        <v>27.05</v>
      </c>
      <c r="G58" s="1">
        <v>49288200</v>
      </c>
      <c r="I58">
        <f t="shared" si="0"/>
        <v>-6.2454077883908211E-3</v>
      </c>
    </row>
    <row r="59" spans="1:9" x14ac:dyDescent="0.2">
      <c r="A59" s="5">
        <v>46059</v>
      </c>
      <c r="B59">
        <v>26.67</v>
      </c>
      <c r="C59">
        <v>27.37</v>
      </c>
      <c r="D59">
        <v>26.52</v>
      </c>
      <c r="E59">
        <v>27.22</v>
      </c>
      <c r="F59">
        <v>27.22</v>
      </c>
      <c r="G59" s="1">
        <v>50691600</v>
      </c>
      <c r="I59">
        <f t="shared" si="0"/>
        <v>2.7557568893922253E-2</v>
      </c>
    </row>
    <row r="60" spans="1:9" x14ac:dyDescent="0.2">
      <c r="A60" s="5">
        <v>46058</v>
      </c>
      <c r="B60">
        <v>26.76</v>
      </c>
      <c r="C60">
        <v>27.19</v>
      </c>
      <c r="D60">
        <v>26.46</v>
      </c>
      <c r="E60">
        <v>26.49</v>
      </c>
      <c r="F60">
        <v>26.49</v>
      </c>
      <c r="G60" s="1">
        <v>72650700</v>
      </c>
      <c r="I60">
        <f t="shared" si="0"/>
        <v>-1.0828976848394425E-2</v>
      </c>
    </row>
    <row r="61" spans="1:9" x14ac:dyDescent="0.2">
      <c r="A61" s="5">
        <v>46057</v>
      </c>
      <c r="B61">
        <v>25.88</v>
      </c>
      <c r="C61">
        <v>26.98</v>
      </c>
      <c r="D61">
        <v>25.86</v>
      </c>
      <c r="E61">
        <v>26.78</v>
      </c>
      <c r="F61">
        <v>26.78</v>
      </c>
      <c r="G61" s="1">
        <v>83025800</v>
      </c>
      <c r="I61">
        <f t="shared" si="0"/>
        <v>3.9192859914629473E-2</v>
      </c>
    </row>
    <row r="62" spans="1:9" x14ac:dyDescent="0.2">
      <c r="A62" s="5">
        <v>46056</v>
      </c>
      <c r="B62">
        <v>25.36</v>
      </c>
      <c r="C62">
        <v>26.11</v>
      </c>
      <c r="D62">
        <v>25.26</v>
      </c>
      <c r="E62">
        <v>25.77</v>
      </c>
      <c r="F62">
        <v>25.77</v>
      </c>
      <c r="G62" s="1">
        <v>91964900</v>
      </c>
      <c r="I62">
        <f t="shared" si="0"/>
        <v>-3.3383345836459133E-2</v>
      </c>
    </row>
    <row r="63" spans="1:9" x14ac:dyDescent="0.2">
      <c r="A63" s="5">
        <v>46055</v>
      </c>
      <c r="B63">
        <v>26.42</v>
      </c>
      <c r="C63">
        <v>26.69</v>
      </c>
      <c r="D63">
        <v>26.35</v>
      </c>
      <c r="E63">
        <v>26.66</v>
      </c>
      <c r="F63">
        <v>26.66</v>
      </c>
      <c r="G63" s="1">
        <v>52129500</v>
      </c>
      <c r="I63">
        <f t="shared" si="0"/>
        <v>8.3207261724659171E-3</v>
      </c>
    </row>
    <row r="64" spans="1:9" x14ac:dyDescent="0.2">
      <c r="A64" s="5">
        <v>46052</v>
      </c>
      <c r="B64">
        <v>26.13</v>
      </c>
      <c r="C64">
        <v>26.47</v>
      </c>
      <c r="D64">
        <v>25.9</v>
      </c>
      <c r="E64">
        <v>26.44</v>
      </c>
      <c r="F64">
        <v>26.44</v>
      </c>
      <c r="G64" s="1">
        <v>51599400</v>
      </c>
      <c r="I64">
        <f t="shared" si="0"/>
        <v>1.3026819923371642E-2</v>
      </c>
    </row>
    <row r="65" spans="1:9" x14ac:dyDescent="0.2">
      <c r="A65" s="5">
        <v>46051</v>
      </c>
      <c r="B65">
        <v>25.9</v>
      </c>
      <c r="C65">
        <v>26.23</v>
      </c>
      <c r="D65">
        <v>25.88</v>
      </c>
      <c r="E65">
        <v>26.1</v>
      </c>
      <c r="F65">
        <v>26.1</v>
      </c>
      <c r="G65" s="1">
        <v>44373800</v>
      </c>
      <c r="I65">
        <f t="shared" si="0"/>
        <v>9.2807424593968294E-3</v>
      </c>
    </row>
    <row r="66" spans="1:9" x14ac:dyDescent="0.2">
      <c r="A66" s="5">
        <v>46050</v>
      </c>
      <c r="B66">
        <v>26.27</v>
      </c>
      <c r="C66">
        <v>26.39</v>
      </c>
      <c r="D66">
        <v>25.76</v>
      </c>
      <c r="E66">
        <v>25.86</v>
      </c>
      <c r="F66">
        <v>25.86</v>
      </c>
      <c r="G66" s="1">
        <v>44976700</v>
      </c>
      <c r="I66">
        <f t="shared" si="0"/>
        <v>-2.4150943396226438E-2</v>
      </c>
    </row>
    <row r="67" spans="1:9" x14ac:dyDescent="0.2">
      <c r="A67" s="5">
        <v>46049</v>
      </c>
      <c r="B67">
        <v>25.94</v>
      </c>
      <c r="C67">
        <v>26.83</v>
      </c>
      <c r="D67">
        <v>25.9</v>
      </c>
      <c r="E67">
        <v>26.5</v>
      </c>
      <c r="F67">
        <v>26.5</v>
      </c>
      <c r="G67" s="1">
        <v>75575400</v>
      </c>
      <c r="I67">
        <f t="shared" ref="I67:I130" si="1">(F67-F68)/F68</f>
        <v>2.3956723338485357E-2</v>
      </c>
    </row>
    <row r="68" spans="1:9" x14ac:dyDescent="0.2">
      <c r="A68" s="5">
        <v>46048</v>
      </c>
      <c r="B68">
        <v>25.63</v>
      </c>
      <c r="C68">
        <v>25.92</v>
      </c>
      <c r="D68">
        <v>25.6</v>
      </c>
      <c r="E68">
        <v>25.88</v>
      </c>
      <c r="F68">
        <v>25.88</v>
      </c>
      <c r="G68" s="1">
        <v>41441900</v>
      </c>
      <c r="I68">
        <f t="shared" si="1"/>
        <v>8.9668615984405623E-3</v>
      </c>
    </row>
    <row r="69" spans="1:9" x14ac:dyDescent="0.2">
      <c r="A69" s="5">
        <v>46045</v>
      </c>
      <c r="B69">
        <v>25.58</v>
      </c>
      <c r="C69">
        <v>25.69</v>
      </c>
      <c r="D69">
        <v>25.51</v>
      </c>
      <c r="E69">
        <v>25.65</v>
      </c>
      <c r="F69">
        <v>25.65</v>
      </c>
      <c r="G69" s="1">
        <v>45402300</v>
      </c>
      <c r="I69">
        <f t="shared" si="1"/>
        <v>-7.7911959485793244E-4</v>
      </c>
    </row>
    <row r="70" spans="1:9" x14ac:dyDescent="0.2">
      <c r="A70" s="5">
        <v>46044</v>
      </c>
      <c r="B70">
        <v>25.9</v>
      </c>
      <c r="C70">
        <v>26.31</v>
      </c>
      <c r="D70">
        <v>25.75</v>
      </c>
      <c r="E70">
        <v>26.1</v>
      </c>
      <c r="F70">
        <v>25.67</v>
      </c>
      <c r="G70" s="1">
        <v>49883900</v>
      </c>
      <c r="I70">
        <f t="shared" si="1"/>
        <v>8.2482325216025471E-3</v>
      </c>
    </row>
    <row r="71" spans="1:9" x14ac:dyDescent="0.2">
      <c r="A71" s="5">
        <v>46043</v>
      </c>
      <c r="B71">
        <v>25.47</v>
      </c>
      <c r="C71">
        <v>25.92</v>
      </c>
      <c r="D71">
        <v>25.38</v>
      </c>
      <c r="E71">
        <v>25.89</v>
      </c>
      <c r="F71">
        <v>25.46</v>
      </c>
      <c r="G71" s="1">
        <v>47264100</v>
      </c>
      <c r="I71">
        <f t="shared" si="1"/>
        <v>1.4342629482071689E-2</v>
      </c>
    </row>
    <row r="72" spans="1:9" x14ac:dyDescent="0.2">
      <c r="A72" s="5">
        <v>46042</v>
      </c>
      <c r="B72">
        <v>25.43</v>
      </c>
      <c r="C72">
        <v>25.65</v>
      </c>
      <c r="D72">
        <v>25.09</v>
      </c>
      <c r="E72">
        <v>25.52</v>
      </c>
      <c r="F72">
        <v>25.1</v>
      </c>
      <c r="G72" s="1">
        <v>55425400</v>
      </c>
      <c r="I72">
        <f t="shared" si="1"/>
        <v>-5.1525961157351963E-3</v>
      </c>
    </row>
    <row r="73" spans="1:9" x14ac:dyDescent="0.2">
      <c r="A73" s="5">
        <v>46038</v>
      </c>
      <c r="B73">
        <v>25.89</v>
      </c>
      <c r="C73">
        <v>25.89</v>
      </c>
      <c r="D73">
        <v>25.55</v>
      </c>
      <c r="E73">
        <v>25.65</v>
      </c>
      <c r="F73">
        <v>25.23</v>
      </c>
      <c r="G73" s="1">
        <v>59470600</v>
      </c>
      <c r="I73">
        <f t="shared" si="1"/>
        <v>-9.033778476040864E-3</v>
      </c>
    </row>
    <row r="74" spans="1:9" x14ac:dyDescent="0.2">
      <c r="A74" s="5">
        <v>46037</v>
      </c>
      <c r="B74">
        <v>25.55</v>
      </c>
      <c r="C74">
        <v>25.89</v>
      </c>
      <c r="D74">
        <v>25.25</v>
      </c>
      <c r="E74">
        <v>25.89</v>
      </c>
      <c r="F74">
        <v>25.46</v>
      </c>
      <c r="G74" s="1">
        <v>55263200</v>
      </c>
      <c r="I74">
        <f t="shared" si="1"/>
        <v>1.1923688394276658E-2</v>
      </c>
    </row>
    <row r="75" spans="1:9" x14ac:dyDescent="0.2">
      <c r="A75" s="5">
        <v>46036</v>
      </c>
      <c r="B75">
        <v>25.23</v>
      </c>
      <c r="C75">
        <v>25.71</v>
      </c>
      <c r="D75">
        <v>25.2</v>
      </c>
      <c r="E75">
        <v>25.58</v>
      </c>
      <c r="F75">
        <v>25.16</v>
      </c>
      <c r="G75" s="1">
        <v>53738100</v>
      </c>
      <c r="I75">
        <f t="shared" si="1"/>
        <v>1.6976556184316965E-2</v>
      </c>
    </row>
    <row r="76" spans="1:9" x14ac:dyDescent="0.2">
      <c r="A76" s="5">
        <v>46035</v>
      </c>
      <c r="B76">
        <v>25.32</v>
      </c>
      <c r="C76">
        <v>25.39</v>
      </c>
      <c r="D76">
        <v>24.97</v>
      </c>
      <c r="E76">
        <v>25.15</v>
      </c>
      <c r="F76">
        <v>24.74</v>
      </c>
      <c r="G76" s="1">
        <v>47656100</v>
      </c>
      <c r="I76">
        <f t="shared" si="1"/>
        <v>-4.4265593561369412E-3</v>
      </c>
    </row>
    <row r="77" spans="1:9" x14ac:dyDescent="0.2">
      <c r="A77" s="5">
        <v>46034</v>
      </c>
      <c r="B77">
        <v>25.58</v>
      </c>
      <c r="C77">
        <v>25.77</v>
      </c>
      <c r="D77">
        <v>25.09</v>
      </c>
      <c r="E77">
        <v>25.27</v>
      </c>
      <c r="F77">
        <v>24.85</v>
      </c>
      <c r="G77" s="1">
        <v>50256300</v>
      </c>
      <c r="I77">
        <f t="shared" si="1"/>
        <v>-8.3798882681563169E-3</v>
      </c>
    </row>
    <row r="78" spans="1:9" x14ac:dyDescent="0.2">
      <c r="A78" s="5">
        <v>46031</v>
      </c>
      <c r="B78">
        <v>25.34</v>
      </c>
      <c r="C78">
        <v>25.55</v>
      </c>
      <c r="D78">
        <v>25.23</v>
      </c>
      <c r="E78">
        <v>25.48</v>
      </c>
      <c r="F78">
        <v>25.06</v>
      </c>
      <c r="G78" s="1">
        <v>34190200</v>
      </c>
      <c r="I78">
        <f t="shared" si="1"/>
        <v>7.6397265782065828E-3</v>
      </c>
    </row>
    <row r="79" spans="1:9" x14ac:dyDescent="0.2">
      <c r="A79" s="5">
        <v>46030</v>
      </c>
      <c r="B79">
        <v>25.18</v>
      </c>
      <c r="C79">
        <v>25.56</v>
      </c>
      <c r="D79">
        <v>25.12</v>
      </c>
      <c r="E79">
        <v>25.29</v>
      </c>
      <c r="F79">
        <v>24.87</v>
      </c>
      <c r="G79" s="1">
        <v>42977300</v>
      </c>
      <c r="I79">
        <f t="shared" si="1"/>
        <v>4.0225261464205809E-4</v>
      </c>
    </row>
    <row r="80" spans="1:9" x14ac:dyDescent="0.2">
      <c r="A80" s="5">
        <v>46029</v>
      </c>
      <c r="B80">
        <v>25.59</v>
      </c>
      <c r="C80">
        <v>25.81</v>
      </c>
      <c r="D80">
        <v>25.14</v>
      </c>
      <c r="E80">
        <v>25.28</v>
      </c>
      <c r="F80">
        <v>24.86</v>
      </c>
      <c r="G80" s="1">
        <v>51395800</v>
      </c>
      <c r="I80">
        <f t="shared" si="1"/>
        <v>-5.9976009596162385E-3</v>
      </c>
    </row>
    <row r="81" spans="1:9" x14ac:dyDescent="0.2">
      <c r="A81" s="5">
        <v>46028</v>
      </c>
      <c r="B81">
        <v>25.19</v>
      </c>
      <c r="C81">
        <v>26.01</v>
      </c>
      <c r="D81">
        <v>25.19</v>
      </c>
      <c r="E81">
        <v>25.43</v>
      </c>
      <c r="F81">
        <v>25.01</v>
      </c>
      <c r="G81" s="1">
        <v>50977300</v>
      </c>
      <c r="I81">
        <f t="shared" si="1"/>
        <v>1.0096930533117932E-2</v>
      </c>
    </row>
    <row r="82" spans="1:9" x14ac:dyDescent="0.2">
      <c r="A82" s="5">
        <v>46027</v>
      </c>
      <c r="B82">
        <v>25.2</v>
      </c>
      <c r="C82">
        <v>25.4</v>
      </c>
      <c r="D82">
        <v>24.95</v>
      </c>
      <c r="E82">
        <v>25.17</v>
      </c>
      <c r="F82">
        <v>24.76</v>
      </c>
      <c r="G82" s="1">
        <v>52620900</v>
      </c>
      <c r="I82">
        <f t="shared" si="1"/>
        <v>-4.0371417036729959E-4</v>
      </c>
    </row>
    <row r="83" spans="1:9" x14ac:dyDescent="0.2">
      <c r="A83" s="5">
        <v>46024</v>
      </c>
      <c r="B83">
        <v>24.98</v>
      </c>
      <c r="C83">
        <v>25.3</v>
      </c>
      <c r="D83">
        <v>24.83</v>
      </c>
      <c r="E83">
        <v>25.18</v>
      </c>
      <c r="F83">
        <v>24.77</v>
      </c>
      <c r="G83" s="1">
        <v>35976700</v>
      </c>
      <c r="I83">
        <f t="shared" si="1"/>
        <v>1.1433238056349578E-2</v>
      </c>
    </row>
    <row r="84" spans="1:9" x14ac:dyDescent="0.2">
      <c r="A84" s="5">
        <v>46022</v>
      </c>
      <c r="B84">
        <v>24.97</v>
      </c>
      <c r="C84">
        <v>25.02</v>
      </c>
      <c r="D84">
        <v>24.88</v>
      </c>
      <c r="E84">
        <v>24.9</v>
      </c>
      <c r="F84">
        <v>24.49</v>
      </c>
      <c r="G84" s="1">
        <v>29409200</v>
      </c>
      <c r="I84">
        <f t="shared" si="1"/>
        <v>-3.6615134255492216E-3</v>
      </c>
    </row>
    <row r="85" spans="1:9" x14ac:dyDescent="0.2">
      <c r="A85" s="5">
        <v>46021</v>
      </c>
      <c r="B85">
        <v>25.01</v>
      </c>
      <c r="C85">
        <v>25.05</v>
      </c>
      <c r="D85">
        <v>24.92</v>
      </c>
      <c r="E85">
        <v>24.99</v>
      </c>
      <c r="F85">
        <v>24.58</v>
      </c>
      <c r="G85" s="1">
        <v>28821700</v>
      </c>
      <c r="I85">
        <f t="shared" si="1"/>
        <v>-4.0666937779591556E-4</v>
      </c>
    </row>
    <row r="86" spans="1:9" x14ac:dyDescent="0.2">
      <c r="A86" s="5">
        <v>46020</v>
      </c>
      <c r="B86">
        <v>25.05</v>
      </c>
      <c r="C86">
        <v>25.2</v>
      </c>
      <c r="D86">
        <v>24.97</v>
      </c>
      <c r="E86">
        <v>25</v>
      </c>
      <c r="F86">
        <v>24.59</v>
      </c>
      <c r="G86" s="1">
        <v>33067700</v>
      </c>
      <c r="I86">
        <f t="shared" si="1"/>
        <v>-3.6466774716369475E-3</v>
      </c>
    </row>
    <row r="87" spans="1:9" x14ac:dyDescent="0.2">
      <c r="A87" s="5">
        <v>46017</v>
      </c>
      <c r="B87">
        <v>25.02</v>
      </c>
      <c r="C87">
        <v>25.11</v>
      </c>
      <c r="D87">
        <v>24.92</v>
      </c>
      <c r="E87">
        <v>25.09</v>
      </c>
      <c r="F87">
        <v>24.68</v>
      </c>
      <c r="G87" s="1">
        <v>21617800</v>
      </c>
      <c r="I87">
        <f t="shared" si="1"/>
        <v>2.4370430544272429E-3</v>
      </c>
    </row>
    <row r="88" spans="1:9" x14ac:dyDescent="0.2">
      <c r="A88" s="5">
        <v>46015</v>
      </c>
      <c r="B88">
        <v>24.92</v>
      </c>
      <c r="C88">
        <v>25.14</v>
      </c>
      <c r="D88">
        <v>24.91</v>
      </c>
      <c r="E88">
        <v>25.03</v>
      </c>
      <c r="F88">
        <v>24.62</v>
      </c>
      <c r="G88" s="1">
        <v>19328500</v>
      </c>
      <c r="I88">
        <f t="shared" si="1"/>
        <v>6.1299550469964097E-3</v>
      </c>
    </row>
    <row r="89" spans="1:9" x14ac:dyDescent="0.2">
      <c r="A89" s="5">
        <v>46014</v>
      </c>
      <c r="B89">
        <v>25.26</v>
      </c>
      <c r="C89">
        <v>25.34</v>
      </c>
      <c r="D89">
        <v>24.83</v>
      </c>
      <c r="E89">
        <v>24.88</v>
      </c>
      <c r="F89">
        <v>24.47</v>
      </c>
      <c r="G89" s="1">
        <v>43692900</v>
      </c>
      <c r="I89">
        <f t="shared" si="1"/>
        <v>-1.2908430818878592E-2</v>
      </c>
    </row>
    <row r="90" spans="1:9" x14ac:dyDescent="0.2">
      <c r="A90" s="5">
        <v>46013</v>
      </c>
      <c r="B90">
        <v>25.2</v>
      </c>
      <c r="C90">
        <v>25.4</v>
      </c>
      <c r="D90">
        <v>25.13</v>
      </c>
      <c r="E90">
        <v>25.21</v>
      </c>
      <c r="F90">
        <v>24.79</v>
      </c>
      <c r="G90" s="1">
        <v>38758900</v>
      </c>
      <c r="I90">
        <f t="shared" si="1"/>
        <v>8.0742834073474262E-4</v>
      </c>
    </row>
    <row r="91" spans="1:9" x14ac:dyDescent="0.2">
      <c r="A91" s="5">
        <v>46010</v>
      </c>
      <c r="B91">
        <v>25.01</v>
      </c>
      <c r="C91">
        <v>25.52</v>
      </c>
      <c r="D91">
        <v>24.98</v>
      </c>
      <c r="E91">
        <v>25.19</v>
      </c>
      <c r="F91">
        <v>24.77</v>
      </c>
      <c r="G91" s="1">
        <v>87590000</v>
      </c>
      <c r="I91">
        <f t="shared" si="1"/>
        <v>5.6841250507511402E-3</v>
      </c>
    </row>
    <row r="92" spans="1:9" x14ac:dyDescent="0.2">
      <c r="A92" s="5">
        <v>46009</v>
      </c>
      <c r="B92">
        <v>25.01</v>
      </c>
      <c r="C92">
        <v>25.23</v>
      </c>
      <c r="D92">
        <v>24.98</v>
      </c>
      <c r="E92">
        <v>25.04</v>
      </c>
      <c r="F92">
        <v>24.63</v>
      </c>
      <c r="G92" s="1">
        <v>47062500</v>
      </c>
      <c r="I92">
        <f t="shared" si="1"/>
        <v>0</v>
      </c>
    </row>
    <row r="93" spans="1:9" x14ac:dyDescent="0.2">
      <c r="A93" s="5">
        <v>46008</v>
      </c>
      <c r="B93">
        <v>25.4</v>
      </c>
      <c r="C93">
        <v>25.49</v>
      </c>
      <c r="D93">
        <v>25.03</v>
      </c>
      <c r="E93">
        <v>25.04</v>
      </c>
      <c r="F93">
        <v>24.63</v>
      </c>
      <c r="G93" s="1">
        <v>61255300</v>
      </c>
      <c r="I93">
        <f t="shared" si="1"/>
        <v>-1.9115890083632035E-2</v>
      </c>
    </row>
    <row r="94" spans="1:9" x14ac:dyDescent="0.2">
      <c r="A94" s="5">
        <v>46007</v>
      </c>
      <c r="B94">
        <v>26.44</v>
      </c>
      <c r="C94">
        <v>26.51</v>
      </c>
      <c r="D94">
        <v>24.92</v>
      </c>
      <c r="E94">
        <v>25.53</v>
      </c>
      <c r="F94">
        <v>25.11</v>
      </c>
      <c r="G94" s="1">
        <v>111695500</v>
      </c>
      <c r="I94">
        <f t="shared" si="1"/>
        <v>-3.3859176606387036E-2</v>
      </c>
    </row>
    <row r="95" spans="1:9" x14ac:dyDescent="0.2">
      <c r="A95" s="5">
        <v>46006</v>
      </c>
      <c r="B95">
        <v>25.82</v>
      </c>
      <c r="C95">
        <v>26.65</v>
      </c>
      <c r="D95">
        <v>25.81</v>
      </c>
      <c r="E95">
        <v>26.43</v>
      </c>
      <c r="F95">
        <v>25.99</v>
      </c>
      <c r="G95" s="1">
        <v>60360000</v>
      </c>
      <c r="I95">
        <f t="shared" si="1"/>
        <v>2.2423288749016394E-2</v>
      </c>
    </row>
    <row r="96" spans="1:9" x14ac:dyDescent="0.2">
      <c r="A96" s="5">
        <v>46003</v>
      </c>
      <c r="B96">
        <v>25.84</v>
      </c>
      <c r="C96">
        <v>26.04</v>
      </c>
      <c r="D96">
        <v>25.72</v>
      </c>
      <c r="E96">
        <v>25.85</v>
      </c>
      <c r="F96">
        <v>25.42</v>
      </c>
      <c r="G96" s="1">
        <v>51599700</v>
      </c>
      <c r="I96">
        <f t="shared" si="1"/>
        <v>1.9708316909736187E-3</v>
      </c>
    </row>
    <row r="97" spans="1:9" x14ac:dyDescent="0.2">
      <c r="A97" s="5">
        <v>46002</v>
      </c>
      <c r="B97">
        <v>25.8</v>
      </c>
      <c r="C97">
        <v>26.04</v>
      </c>
      <c r="D97">
        <v>25.61</v>
      </c>
      <c r="E97">
        <v>25.8</v>
      </c>
      <c r="F97">
        <v>25.37</v>
      </c>
      <c r="G97" s="1">
        <v>35570200</v>
      </c>
      <c r="I97">
        <f t="shared" si="1"/>
        <v>3.9432176656157582E-4</v>
      </c>
    </row>
    <row r="98" spans="1:9" x14ac:dyDescent="0.2">
      <c r="A98" s="5">
        <v>46001</v>
      </c>
      <c r="B98">
        <v>25.49</v>
      </c>
      <c r="C98">
        <v>25.79</v>
      </c>
      <c r="D98">
        <v>25.22</v>
      </c>
      <c r="E98">
        <v>25.78</v>
      </c>
      <c r="F98">
        <v>25.36</v>
      </c>
      <c r="G98" s="1">
        <v>43635400</v>
      </c>
      <c r="I98">
        <f t="shared" si="1"/>
        <v>1.8065034122842202E-2</v>
      </c>
    </row>
    <row r="99" spans="1:9" x14ac:dyDescent="0.2">
      <c r="A99" s="5">
        <v>46000</v>
      </c>
      <c r="B99">
        <v>26</v>
      </c>
      <c r="C99">
        <v>26.13</v>
      </c>
      <c r="D99">
        <v>25.13</v>
      </c>
      <c r="E99">
        <v>25.33</v>
      </c>
      <c r="F99">
        <v>24.91</v>
      </c>
      <c r="G99" s="1">
        <v>43483800</v>
      </c>
      <c r="I99">
        <f t="shared" si="1"/>
        <v>-1.7357001972386637E-2</v>
      </c>
    </row>
    <row r="100" spans="1:9" x14ac:dyDescent="0.2">
      <c r="A100" s="5">
        <v>45999</v>
      </c>
      <c r="B100">
        <v>26.04</v>
      </c>
      <c r="C100">
        <v>26.19</v>
      </c>
      <c r="D100">
        <v>25.76</v>
      </c>
      <c r="E100">
        <v>25.77</v>
      </c>
      <c r="F100">
        <v>25.35</v>
      </c>
      <c r="G100" s="1">
        <v>45209300</v>
      </c>
      <c r="I100">
        <f t="shared" si="1"/>
        <v>-9.765625E-3</v>
      </c>
    </row>
    <row r="101" spans="1:9" x14ac:dyDescent="0.2">
      <c r="A101" s="5">
        <v>45996</v>
      </c>
      <c r="B101">
        <v>25.77</v>
      </c>
      <c r="C101">
        <v>26.12</v>
      </c>
      <c r="D101">
        <v>25.64</v>
      </c>
      <c r="E101">
        <v>26.03</v>
      </c>
      <c r="F101">
        <v>25.6</v>
      </c>
      <c r="G101" s="1">
        <v>47443700</v>
      </c>
      <c r="I101">
        <f t="shared" si="1"/>
        <v>1.2658227848101276E-2</v>
      </c>
    </row>
    <row r="102" spans="1:9" x14ac:dyDescent="0.2">
      <c r="A102" s="5">
        <v>45995</v>
      </c>
      <c r="B102">
        <v>25.63</v>
      </c>
      <c r="C102">
        <v>25.74</v>
      </c>
      <c r="D102">
        <v>25.35</v>
      </c>
      <c r="E102">
        <v>25.7</v>
      </c>
      <c r="F102">
        <v>25.28</v>
      </c>
      <c r="G102" s="1">
        <v>35454000</v>
      </c>
      <c r="I102">
        <f t="shared" si="1"/>
        <v>5.1689860834991082E-3</v>
      </c>
    </row>
    <row r="103" spans="1:9" x14ac:dyDescent="0.2">
      <c r="A103" s="5">
        <v>45994</v>
      </c>
      <c r="B103">
        <v>25.32</v>
      </c>
      <c r="C103">
        <v>25.89</v>
      </c>
      <c r="D103">
        <v>25.3</v>
      </c>
      <c r="E103">
        <v>25.57</v>
      </c>
      <c r="F103">
        <v>25.15</v>
      </c>
      <c r="G103" s="1">
        <v>56121200</v>
      </c>
      <c r="I103">
        <f t="shared" si="1"/>
        <v>1.657235246564269E-2</v>
      </c>
    </row>
    <row r="104" spans="1:9" x14ac:dyDescent="0.2">
      <c r="A104" s="5">
        <v>45993</v>
      </c>
      <c r="B104">
        <v>25.32</v>
      </c>
      <c r="C104">
        <v>25.32</v>
      </c>
      <c r="D104">
        <v>25.04</v>
      </c>
      <c r="E104">
        <v>25.15</v>
      </c>
      <c r="F104">
        <v>24.74</v>
      </c>
      <c r="G104" s="1">
        <v>43827000</v>
      </c>
      <c r="I104">
        <f t="shared" si="1"/>
        <v>-4.4265593561369412E-3</v>
      </c>
    </row>
    <row r="105" spans="1:9" x14ac:dyDescent="0.2">
      <c r="A105" s="5">
        <v>45992</v>
      </c>
      <c r="B105">
        <v>25.76</v>
      </c>
      <c r="C105">
        <v>25.94</v>
      </c>
      <c r="D105">
        <v>25.23</v>
      </c>
      <c r="E105">
        <v>25.27</v>
      </c>
      <c r="F105">
        <v>24.85</v>
      </c>
      <c r="G105" s="1">
        <v>53198600</v>
      </c>
      <c r="I105">
        <f t="shared" si="1"/>
        <v>-1.8562401263823018E-2</v>
      </c>
    </row>
    <row r="106" spans="1:9" x14ac:dyDescent="0.2">
      <c r="A106" s="5">
        <v>45989</v>
      </c>
      <c r="B106">
        <v>25.85</v>
      </c>
      <c r="C106">
        <v>25.86</v>
      </c>
      <c r="D106">
        <v>25.66</v>
      </c>
      <c r="E106">
        <v>25.74</v>
      </c>
      <c r="F106">
        <v>25.32</v>
      </c>
      <c r="G106" s="1">
        <v>22627600</v>
      </c>
      <c r="I106">
        <f t="shared" si="1"/>
        <v>1.1862396204033664E-3</v>
      </c>
    </row>
    <row r="107" spans="1:9" x14ac:dyDescent="0.2">
      <c r="A107" s="5">
        <v>45987</v>
      </c>
      <c r="B107">
        <v>25.7</v>
      </c>
      <c r="C107">
        <v>25.81</v>
      </c>
      <c r="D107">
        <v>25.58</v>
      </c>
      <c r="E107">
        <v>25.71</v>
      </c>
      <c r="F107">
        <v>25.29</v>
      </c>
      <c r="G107" s="1">
        <v>33461000</v>
      </c>
      <c r="I107">
        <f t="shared" si="1"/>
        <v>-3.9525691699610923E-4</v>
      </c>
    </row>
    <row r="108" spans="1:9" x14ac:dyDescent="0.2">
      <c r="A108" s="5">
        <v>45986</v>
      </c>
      <c r="B108">
        <v>25.37</v>
      </c>
      <c r="C108">
        <v>25.97</v>
      </c>
      <c r="D108">
        <v>25.36</v>
      </c>
      <c r="E108">
        <v>25.72</v>
      </c>
      <c r="F108">
        <v>25.3</v>
      </c>
      <c r="G108" s="1">
        <v>39130300</v>
      </c>
      <c r="I108">
        <f t="shared" si="1"/>
        <v>2.0161290322580645E-2</v>
      </c>
    </row>
    <row r="109" spans="1:9" x14ac:dyDescent="0.2">
      <c r="A109" s="5">
        <v>45985</v>
      </c>
      <c r="B109">
        <v>25.11</v>
      </c>
      <c r="C109">
        <v>25.47</v>
      </c>
      <c r="D109">
        <v>25.05</v>
      </c>
      <c r="E109">
        <v>25.22</v>
      </c>
      <c r="F109">
        <v>24.8</v>
      </c>
      <c r="G109" s="1">
        <v>63074900</v>
      </c>
      <c r="I109">
        <f t="shared" si="1"/>
        <v>6.9021518473407111E-3</v>
      </c>
    </row>
    <row r="110" spans="1:9" x14ac:dyDescent="0.2">
      <c r="A110" s="5">
        <v>45982</v>
      </c>
      <c r="B110">
        <v>24.59</v>
      </c>
      <c r="C110">
        <v>25.52</v>
      </c>
      <c r="D110">
        <v>24.59</v>
      </c>
      <c r="E110">
        <v>25.04</v>
      </c>
      <c r="F110">
        <v>24.63</v>
      </c>
      <c r="G110" s="1">
        <v>73079400</v>
      </c>
      <c r="I110">
        <f t="shared" si="1"/>
        <v>2.6249999999999957E-2</v>
      </c>
    </row>
    <row r="111" spans="1:9" x14ac:dyDescent="0.2">
      <c r="A111" s="5">
        <v>45981</v>
      </c>
      <c r="B111">
        <v>24.89</v>
      </c>
      <c r="C111">
        <v>25</v>
      </c>
      <c r="D111">
        <v>24.28</v>
      </c>
      <c r="E111">
        <v>24.4</v>
      </c>
      <c r="F111">
        <v>24</v>
      </c>
      <c r="G111" s="1">
        <v>51983200</v>
      </c>
      <c r="I111">
        <f t="shared" si="1"/>
        <v>-1.9207192480588432E-2</v>
      </c>
    </row>
    <row r="112" spans="1:9" x14ac:dyDescent="0.2">
      <c r="A112" s="5">
        <v>45980</v>
      </c>
      <c r="B112">
        <v>25.35</v>
      </c>
      <c r="C112">
        <v>25.5</v>
      </c>
      <c r="D112">
        <v>24.72</v>
      </c>
      <c r="E112">
        <v>24.88</v>
      </c>
      <c r="F112">
        <v>24.47</v>
      </c>
      <c r="G112" s="1">
        <v>62000200</v>
      </c>
      <c r="I112">
        <f t="shared" si="1"/>
        <v>-2.2373152217339282E-2</v>
      </c>
    </row>
    <row r="113" spans="1:9" x14ac:dyDescent="0.2">
      <c r="A113" s="5">
        <v>45979</v>
      </c>
      <c r="B113">
        <v>25.05</v>
      </c>
      <c r="C113">
        <v>25.51</v>
      </c>
      <c r="D113">
        <v>24.98</v>
      </c>
      <c r="E113">
        <v>25.45</v>
      </c>
      <c r="F113">
        <v>25.03</v>
      </c>
      <c r="G113" s="1">
        <v>66511800</v>
      </c>
      <c r="I113">
        <f t="shared" si="1"/>
        <v>1.4592622618565036E-2</v>
      </c>
    </row>
    <row r="114" spans="1:9" x14ac:dyDescent="0.2">
      <c r="A114" s="5">
        <v>45978</v>
      </c>
      <c r="B114">
        <v>25.11</v>
      </c>
      <c r="C114">
        <v>25.57</v>
      </c>
      <c r="D114">
        <v>24.95</v>
      </c>
      <c r="E114">
        <v>25.08</v>
      </c>
      <c r="F114">
        <v>24.67</v>
      </c>
      <c r="G114" s="1">
        <v>88042200</v>
      </c>
      <c r="I114">
        <f t="shared" si="1"/>
        <v>8.113590263692952E-4</v>
      </c>
    </row>
    <row r="115" spans="1:9" x14ac:dyDescent="0.2">
      <c r="A115" s="5">
        <v>45975</v>
      </c>
      <c r="B115">
        <v>25.67</v>
      </c>
      <c r="C115">
        <v>25.77</v>
      </c>
      <c r="D115">
        <v>24.97</v>
      </c>
      <c r="E115">
        <v>25.06</v>
      </c>
      <c r="F115">
        <v>24.65</v>
      </c>
      <c r="G115" s="1">
        <v>96507600</v>
      </c>
      <c r="I115">
        <f t="shared" si="1"/>
        <v>-2.8379976350019803E-2</v>
      </c>
    </row>
    <row r="116" spans="1:9" x14ac:dyDescent="0.2">
      <c r="A116" s="5">
        <v>45974</v>
      </c>
      <c r="B116">
        <v>25.94</v>
      </c>
      <c r="C116">
        <v>26.48</v>
      </c>
      <c r="D116">
        <v>25.67</v>
      </c>
      <c r="E116">
        <v>25.79</v>
      </c>
      <c r="F116">
        <v>25.37</v>
      </c>
      <c r="G116" s="1">
        <v>123083100</v>
      </c>
      <c r="I116">
        <f t="shared" si="1"/>
        <v>-2.7515723270440363E-3</v>
      </c>
    </row>
    <row r="117" spans="1:9" x14ac:dyDescent="0.2">
      <c r="A117" s="5">
        <v>45973</v>
      </c>
      <c r="B117">
        <v>25.4</v>
      </c>
      <c r="C117">
        <v>25.95</v>
      </c>
      <c r="D117">
        <v>25.25</v>
      </c>
      <c r="E117">
        <v>25.87</v>
      </c>
      <c r="F117">
        <v>25.44</v>
      </c>
      <c r="G117" s="1">
        <v>96008000</v>
      </c>
      <c r="I117">
        <f t="shared" si="1"/>
        <v>1.3949780789159084E-2</v>
      </c>
    </row>
    <row r="118" spans="1:9" x14ac:dyDescent="0.2">
      <c r="A118" s="5">
        <v>45972</v>
      </c>
      <c r="B118">
        <v>24.49</v>
      </c>
      <c r="C118">
        <v>25.51</v>
      </c>
      <c r="D118">
        <v>24.44</v>
      </c>
      <c r="E118">
        <v>25.51</v>
      </c>
      <c r="F118">
        <v>25.09</v>
      </c>
      <c r="G118" s="1">
        <v>139673800</v>
      </c>
      <c r="I118">
        <f t="shared" si="1"/>
        <v>4.5852438516048415E-2</v>
      </c>
    </row>
    <row r="119" spans="1:9" x14ac:dyDescent="0.2">
      <c r="A119" s="5">
        <v>45971</v>
      </c>
      <c r="B119">
        <v>24.66</v>
      </c>
      <c r="C119">
        <v>24.89</v>
      </c>
      <c r="D119">
        <v>23.91</v>
      </c>
      <c r="E119">
        <v>24.39</v>
      </c>
      <c r="F119">
        <v>23.99</v>
      </c>
      <c r="G119" s="1">
        <v>148958600</v>
      </c>
      <c r="I119">
        <f t="shared" si="1"/>
        <v>-1.6645859342489678E-3</v>
      </c>
    </row>
    <row r="120" spans="1:9" x14ac:dyDescent="0.2">
      <c r="A120" s="5">
        <v>45968</v>
      </c>
      <c r="B120">
        <v>24.33</v>
      </c>
      <c r="C120">
        <v>24.63</v>
      </c>
      <c r="D120">
        <v>24.11</v>
      </c>
      <c r="E120">
        <v>24.43</v>
      </c>
      <c r="F120">
        <v>24.03</v>
      </c>
      <c r="G120" s="1">
        <v>117794500</v>
      </c>
      <c r="I120">
        <f t="shared" si="1"/>
        <v>4.1631973355543559E-4</v>
      </c>
    </row>
    <row r="121" spans="1:9" x14ac:dyDescent="0.2">
      <c r="A121" s="5">
        <v>45967</v>
      </c>
      <c r="B121">
        <v>24.75</v>
      </c>
      <c r="C121">
        <v>25.13</v>
      </c>
      <c r="D121">
        <v>24.54</v>
      </c>
      <c r="E121">
        <v>24.85</v>
      </c>
      <c r="F121">
        <v>24.02</v>
      </c>
      <c r="G121" s="1">
        <v>124137200</v>
      </c>
      <c r="I121">
        <f t="shared" si="1"/>
        <v>9.6679277007146042E-3</v>
      </c>
    </row>
    <row r="122" spans="1:9" x14ac:dyDescent="0.2">
      <c r="A122" s="5">
        <v>45966</v>
      </c>
      <c r="B122">
        <v>24.38</v>
      </c>
      <c r="C122">
        <v>24.67</v>
      </c>
      <c r="D122">
        <v>24.16</v>
      </c>
      <c r="E122">
        <v>24.61</v>
      </c>
      <c r="F122">
        <v>23.79</v>
      </c>
      <c r="G122" s="1">
        <v>107240900</v>
      </c>
      <c r="I122">
        <f t="shared" si="1"/>
        <v>1.277139208173694E-2</v>
      </c>
    </row>
    <row r="123" spans="1:9" x14ac:dyDescent="0.2">
      <c r="A123" s="5">
        <v>45965</v>
      </c>
      <c r="B123">
        <v>24.39</v>
      </c>
      <c r="C123">
        <v>25.2</v>
      </c>
      <c r="D123">
        <v>24.2</v>
      </c>
      <c r="E123">
        <v>24.3</v>
      </c>
      <c r="F123">
        <v>23.49</v>
      </c>
      <c r="G123" s="1">
        <v>166162000</v>
      </c>
      <c r="I123">
        <f t="shared" si="1"/>
        <v>-1.426772975241292E-2</v>
      </c>
    </row>
    <row r="124" spans="1:9" x14ac:dyDescent="0.2">
      <c r="A124" s="5">
        <v>45964</v>
      </c>
      <c r="B124">
        <v>24.59</v>
      </c>
      <c r="C124">
        <v>24.75</v>
      </c>
      <c r="D124">
        <v>24.41</v>
      </c>
      <c r="E124">
        <v>24.66</v>
      </c>
      <c r="F124">
        <v>23.83</v>
      </c>
      <c r="G124" s="1">
        <v>140871300</v>
      </c>
      <c r="I124">
        <f t="shared" si="1"/>
        <v>4.1981528127615491E-4</v>
      </c>
    </row>
    <row r="125" spans="1:9" x14ac:dyDescent="0.2">
      <c r="A125" s="5">
        <v>45961</v>
      </c>
      <c r="B125">
        <v>24.28</v>
      </c>
      <c r="C125">
        <v>24.73</v>
      </c>
      <c r="D125">
        <v>24.16</v>
      </c>
      <c r="E125">
        <v>24.65</v>
      </c>
      <c r="F125">
        <v>23.82</v>
      </c>
      <c r="G125" s="1">
        <v>132697400</v>
      </c>
      <c r="I125">
        <f t="shared" si="1"/>
        <v>1.448040885860306E-2</v>
      </c>
    </row>
    <row r="126" spans="1:9" x14ac:dyDescent="0.2">
      <c r="A126" s="5">
        <v>45960</v>
      </c>
      <c r="B126">
        <v>24.31</v>
      </c>
      <c r="C126">
        <v>24.7</v>
      </c>
      <c r="D126">
        <v>24.15</v>
      </c>
      <c r="E126">
        <v>24.29</v>
      </c>
      <c r="F126">
        <v>23.48</v>
      </c>
      <c r="G126" s="1">
        <v>157478000</v>
      </c>
      <c r="I126">
        <f t="shared" si="1"/>
        <v>0</v>
      </c>
    </row>
    <row r="127" spans="1:9" x14ac:dyDescent="0.2">
      <c r="A127" s="5">
        <v>45959</v>
      </c>
      <c r="B127">
        <v>24.53</v>
      </c>
      <c r="C127">
        <v>24.63</v>
      </c>
      <c r="D127">
        <v>24.23</v>
      </c>
      <c r="E127">
        <v>24.29</v>
      </c>
      <c r="F127">
        <v>23.48</v>
      </c>
      <c r="G127" s="1">
        <v>65438400</v>
      </c>
      <c r="I127">
        <f t="shared" si="1"/>
        <v>-8.4459459459459152E-3</v>
      </c>
    </row>
    <row r="128" spans="1:9" x14ac:dyDescent="0.2">
      <c r="A128" s="5">
        <v>45958</v>
      </c>
      <c r="B128">
        <v>24.78</v>
      </c>
      <c r="C128">
        <v>24.78</v>
      </c>
      <c r="D128">
        <v>24.38</v>
      </c>
      <c r="E128">
        <v>24.5</v>
      </c>
      <c r="F128">
        <v>23.68</v>
      </c>
      <c r="G128" s="1">
        <v>50152400</v>
      </c>
      <c r="I128">
        <f t="shared" si="1"/>
        <v>-1.0860484544695136E-2</v>
      </c>
    </row>
    <row r="129" spans="1:9" x14ac:dyDescent="0.2">
      <c r="A129" s="5">
        <v>45957</v>
      </c>
      <c r="B129">
        <v>24.74</v>
      </c>
      <c r="C129">
        <v>24.8</v>
      </c>
      <c r="D129">
        <v>24.63</v>
      </c>
      <c r="E129">
        <v>24.77</v>
      </c>
      <c r="F129">
        <v>23.94</v>
      </c>
      <c r="G129" s="1">
        <v>34974900</v>
      </c>
      <c r="I129">
        <f t="shared" si="1"/>
        <v>4.178854993732371E-4</v>
      </c>
    </row>
    <row r="130" spans="1:9" x14ac:dyDescent="0.2">
      <c r="A130" s="5">
        <v>45954</v>
      </c>
      <c r="B130">
        <v>24.7</v>
      </c>
      <c r="C130">
        <v>24.83</v>
      </c>
      <c r="D130">
        <v>24.68</v>
      </c>
      <c r="E130">
        <v>24.76</v>
      </c>
      <c r="F130">
        <v>23.93</v>
      </c>
      <c r="G130" s="1">
        <v>27429200</v>
      </c>
      <c r="I130">
        <f t="shared" si="1"/>
        <v>3.7751677852348934E-3</v>
      </c>
    </row>
    <row r="131" spans="1:9" x14ac:dyDescent="0.2">
      <c r="A131" s="5">
        <v>45953</v>
      </c>
      <c r="B131">
        <v>24.76</v>
      </c>
      <c r="C131">
        <v>24.78</v>
      </c>
      <c r="D131">
        <v>24.51</v>
      </c>
      <c r="E131">
        <v>24.67</v>
      </c>
      <c r="F131">
        <v>23.84</v>
      </c>
      <c r="G131" s="1">
        <v>34219900</v>
      </c>
      <c r="I131">
        <f t="shared" ref="I131:I194" si="2">(F131-F132)/F132</f>
        <v>-2.0929259104228008E-3</v>
      </c>
    </row>
    <row r="132" spans="1:9" x14ac:dyDescent="0.2">
      <c r="A132" s="5">
        <v>45952</v>
      </c>
      <c r="B132">
        <v>24.79</v>
      </c>
      <c r="C132">
        <v>24.93</v>
      </c>
      <c r="D132">
        <v>24.62</v>
      </c>
      <c r="E132">
        <v>24.72</v>
      </c>
      <c r="F132">
        <v>23.89</v>
      </c>
      <c r="G132" s="1">
        <v>48662900</v>
      </c>
      <c r="I132">
        <f t="shared" si="2"/>
        <v>-5.4121565362197756E-3</v>
      </c>
    </row>
    <row r="133" spans="1:9" x14ac:dyDescent="0.2">
      <c r="A133" s="5">
        <v>45951</v>
      </c>
      <c r="B133">
        <v>24.72</v>
      </c>
      <c r="C133">
        <v>24.96</v>
      </c>
      <c r="D133">
        <v>24.6</v>
      </c>
      <c r="E133">
        <v>24.85</v>
      </c>
      <c r="F133">
        <v>24.02</v>
      </c>
      <c r="G133" s="1">
        <v>40726900</v>
      </c>
      <c r="I133">
        <f t="shared" si="2"/>
        <v>6.7057837384744403E-3</v>
      </c>
    </row>
    <row r="134" spans="1:9" x14ac:dyDescent="0.2">
      <c r="A134" s="5">
        <v>45950</v>
      </c>
      <c r="B134">
        <v>24.57</v>
      </c>
      <c r="C134">
        <v>24.73</v>
      </c>
      <c r="D134">
        <v>24.51</v>
      </c>
      <c r="E134">
        <v>24.69</v>
      </c>
      <c r="F134">
        <v>23.86</v>
      </c>
      <c r="G134" s="1">
        <v>35856800</v>
      </c>
      <c r="I134">
        <f t="shared" si="2"/>
        <v>7.1760236386660256E-3</v>
      </c>
    </row>
    <row r="135" spans="1:9" x14ac:dyDescent="0.2">
      <c r="A135" s="5">
        <v>45947</v>
      </c>
      <c r="B135">
        <v>24.2</v>
      </c>
      <c r="C135">
        <v>24.53</v>
      </c>
      <c r="D135">
        <v>24.16</v>
      </c>
      <c r="E135">
        <v>24.51</v>
      </c>
      <c r="F135">
        <v>23.69</v>
      </c>
      <c r="G135" s="1">
        <v>40101900</v>
      </c>
      <c r="I135">
        <f t="shared" si="2"/>
        <v>1.1528608027327051E-2</v>
      </c>
    </row>
    <row r="136" spans="1:9" x14ac:dyDescent="0.2">
      <c r="A136" s="5">
        <v>45946</v>
      </c>
      <c r="B136">
        <v>24.44</v>
      </c>
      <c r="C136">
        <v>24.61</v>
      </c>
      <c r="D136">
        <v>24.21</v>
      </c>
      <c r="E136">
        <v>24.23</v>
      </c>
      <c r="F136">
        <v>23.42</v>
      </c>
      <c r="G136" s="1">
        <v>44390000</v>
      </c>
      <c r="I136">
        <f t="shared" si="2"/>
        <v>-6.3640220619430874E-3</v>
      </c>
    </row>
    <row r="137" spans="1:9" x14ac:dyDescent="0.2">
      <c r="A137" s="5">
        <v>45945</v>
      </c>
      <c r="B137">
        <v>24.49</v>
      </c>
      <c r="C137">
        <v>24.58</v>
      </c>
      <c r="D137">
        <v>24.21</v>
      </c>
      <c r="E137">
        <v>24.39</v>
      </c>
      <c r="F137">
        <v>23.57</v>
      </c>
      <c r="G137" s="1">
        <v>47729800</v>
      </c>
      <c r="I137">
        <f t="shared" si="2"/>
        <v>-5.4852320675105063E-3</v>
      </c>
    </row>
    <row r="138" spans="1:9" x14ac:dyDescent="0.2">
      <c r="A138" s="5">
        <v>45944</v>
      </c>
      <c r="B138">
        <v>24.65</v>
      </c>
      <c r="C138">
        <v>24.79</v>
      </c>
      <c r="D138">
        <v>24.48</v>
      </c>
      <c r="E138">
        <v>24.52</v>
      </c>
      <c r="F138">
        <v>23.7</v>
      </c>
      <c r="G138" s="1">
        <v>42277000</v>
      </c>
      <c r="I138">
        <f t="shared" si="2"/>
        <v>-8.3682008368200552E-3</v>
      </c>
    </row>
    <row r="139" spans="1:9" x14ac:dyDescent="0.2">
      <c r="A139" s="5">
        <v>45943</v>
      </c>
      <c r="B139">
        <v>24.84</v>
      </c>
      <c r="C139">
        <v>24.95</v>
      </c>
      <c r="D139">
        <v>24.61</v>
      </c>
      <c r="E139">
        <v>24.73</v>
      </c>
      <c r="F139">
        <v>23.9</v>
      </c>
      <c r="G139" s="1">
        <v>45356600</v>
      </c>
      <c r="I139">
        <f t="shared" si="2"/>
        <v>-2.0876826722338502E-3</v>
      </c>
    </row>
    <row r="140" spans="1:9" x14ac:dyDescent="0.2">
      <c r="A140" s="5">
        <v>45940</v>
      </c>
      <c r="B140">
        <v>25.26</v>
      </c>
      <c r="C140">
        <v>25.42</v>
      </c>
      <c r="D140">
        <v>24.62</v>
      </c>
      <c r="E140">
        <v>24.78</v>
      </c>
      <c r="F140">
        <v>23.95</v>
      </c>
      <c r="G140" s="1">
        <v>64963900</v>
      </c>
      <c r="I140">
        <f t="shared" si="2"/>
        <v>-1.8040180401804069E-2</v>
      </c>
    </row>
    <row r="141" spans="1:9" x14ac:dyDescent="0.2">
      <c r="A141" s="5">
        <v>45939</v>
      </c>
      <c r="B141">
        <v>25.78</v>
      </c>
      <c r="C141">
        <v>25.9</v>
      </c>
      <c r="D141">
        <v>25.21</v>
      </c>
      <c r="E141">
        <v>25.24</v>
      </c>
      <c r="F141">
        <v>24.39</v>
      </c>
      <c r="G141" s="1">
        <v>47278700</v>
      </c>
      <c r="I141">
        <f t="shared" si="2"/>
        <v>-1.7324738114423841E-2</v>
      </c>
    </row>
    <row r="142" spans="1:9" x14ac:dyDescent="0.2">
      <c r="A142" s="5">
        <v>45938</v>
      </c>
      <c r="B142">
        <v>26.42</v>
      </c>
      <c r="C142">
        <v>26.5</v>
      </c>
      <c r="D142">
        <v>25.63</v>
      </c>
      <c r="E142">
        <v>25.68</v>
      </c>
      <c r="F142">
        <v>24.82</v>
      </c>
      <c r="G142" s="1">
        <v>48693300</v>
      </c>
      <c r="I142">
        <f t="shared" si="2"/>
        <v>-2.2449783379283193E-2</v>
      </c>
    </row>
    <row r="143" spans="1:9" x14ac:dyDescent="0.2">
      <c r="A143" s="5">
        <v>45937</v>
      </c>
      <c r="B143">
        <v>26.42</v>
      </c>
      <c r="C143">
        <v>26.58</v>
      </c>
      <c r="D143">
        <v>26.05</v>
      </c>
      <c r="E143">
        <v>26.27</v>
      </c>
      <c r="F143">
        <v>25.39</v>
      </c>
      <c r="G143" s="1">
        <v>47744200</v>
      </c>
      <c r="I143">
        <f t="shared" si="2"/>
        <v>-5.8731401722787232E-3</v>
      </c>
    </row>
    <row r="144" spans="1:9" x14ac:dyDescent="0.2">
      <c r="A144" s="5">
        <v>45936</v>
      </c>
      <c r="B144">
        <v>27.27</v>
      </c>
      <c r="C144">
        <v>27.36</v>
      </c>
      <c r="D144">
        <v>26.39</v>
      </c>
      <c r="E144">
        <v>26.43</v>
      </c>
      <c r="F144">
        <v>25.54</v>
      </c>
      <c r="G144" s="1">
        <v>62945600</v>
      </c>
      <c r="I144">
        <f t="shared" si="2"/>
        <v>-3.4404536862003787E-2</v>
      </c>
    </row>
    <row r="145" spans="1:9" x14ac:dyDescent="0.2">
      <c r="A145" s="5">
        <v>45933</v>
      </c>
      <c r="B145">
        <v>27.2</v>
      </c>
      <c r="C145">
        <v>27.69</v>
      </c>
      <c r="D145">
        <v>27.04</v>
      </c>
      <c r="E145">
        <v>27.37</v>
      </c>
      <c r="F145">
        <v>26.45</v>
      </c>
      <c r="G145" s="1">
        <v>70524000</v>
      </c>
      <c r="I145">
        <f t="shared" si="2"/>
        <v>1.0699273977837126E-2</v>
      </c>
    </row>
    <row r="146" spans="1:9" x14ac:dyDescent="0.2">
      <c r="A146" s="5">
        <v>45932</v>
      </c>
      <c r="B146">
        <v>26.93</v>
      </c>
      <c r="C146">
        <v>27.17</v>
      </c>
      <c r="D146">
        <v>26.62</v>
      </c>
      <c r="E146">
        <v>27.08</v>
      </c>
      <c r="F146">
        <v>26.17</v>
      </c>
      <c r="G146" s="1">
        <v>69684100</v>
      </c>
      <c r="I146">
        <f t="shared" si="2"/>
        <v>-4.9429657794676429E-3</v>
      </c>
    </row>
    <row r="147" spans="1:9" x14ac:dyDescent="0.2">
      <c r="A147" s="5">
        <v>45931</v>
      </c>
      <c r="B147">
        <v>25.97</v>
      </c>
      <c r="C147">
        <v>27.45</v>
      </c>
      <c r="D147">
        <v>25.58</v>
      </c>
      <c r="E147">
        <v>27.21</v>
      </c>
      <c r="F147">
        <v>26.3</v>
      </c>
      <c r="G147" s="1">
        <v>150879900</v>
      </c>
      <c r="I147">
        <f t="shared" si="2"/>
        <v>6.7803491676816957E-2</v>
      </c>
    </row>
    <row r="148" spans="1:9" x14ac:dyDescent="0.2">
      <c r="A148" s="5">
        <v>45930</v>
      </c>
      <c r="B148">
        <v>23.85</v>
      </c>
      <c r="C148">
        <v>25.63</v>
      </c>
      <c r="D148">
        <v>23.81</v>
      </c>
      <c r="E148">
        <v>25.48</v>
      </c>
      <c r="F148">
        <v>24.63</v>
      </c>
      <c r="G148" s="1">
        <v>164867300</v>
      </c>
      <c r="I148">
        <f t="shared" si="2"/>
        <v>6.8546637744034633E-2</v>
      </c>
    </row>
    <row r="149" spans="1:9" x14ac:dyDescent="0.2">
      <c r="A149" s="5">
        <v>45929</v>
      </c>
      <c r="B149">
        <v>23.79</v>
      </c>
      <c r="C149">
        <v>23.86</v>
      </c>
      <c r="D149">
        <v>23.64</v>
      </c>
      <c r="E149">
        <v>23.85</v>
      </c>
      <c r="F149">
        <v>23.05</v>
      </c>
      <c r="G149" s="1">
        <v>39184300</v>
      </c>
      <c r="I149">
        <f t="shared" si="2"/>
        <v>3.9198606271776942E-3</v>
      </c>
    </row>
    <row r="150" spans="1:9" x14ac:dyDescent="0.2">
      <c r="A150" s="5">
        <v>45926</v>
      </c>
      <c r="B150">
        <v>23.73</v>
      </c>
      <c r="C150">
        <v>23.81</v>
      </c>
      <c r="D150">
        <v>23.61</v>
      </c>
      <c r="E150">
        <v>23.76</v>
      </c>
      <c r="F150">
        <v>22.96</v>
      </c>
      <c r="G150" s="1">
        <v>33374500</v>
      </c>
      <c r="I150">
        <f t="shared" si="2"/>
        <v>6.5760631302061437E-3</v>
      </c>
    </row>
    <row r="151" spans="1:9" x14ac:dyDescent="0.2">
      <c r="A151" s="5">
        <v>45925</v>
      </c>
      <c r="B151">
        <v>24.09</v>
      </c>
      <c r="C151">
        <v>24.15</v>
      </c>
      <c r="D151">
        <v>23.58</v>
      </c>
      <c r="E151">
        <v>23.6</v>
      </c>
      <c r="F151">
        <v>22.81</v>
      </c>
      <c r="G151" s="1">
        <v>56738300</v>
      </c>
      <c r="I151">
        <f t="shared" si="2"/>
        <v>-2.0189003436426219E-2</v>
      </c>
    </row>
    <row r="152" spans="1:9" x14ac:dyDescent="0.2">
      <c r="A152" s="5">
        <v>45924</v>
      </c>
      <c r="B152">
        <v>24.17</v>
      </c>
      <c r="C152">
        <v>24.18</v>
      </c>
      <c r="D152">
        <v>23.98</v>
      </c>
      <c r="E152">
        <v>24.09</v>
      </c>
      <c r="F152">
        <v>23.28</v>
      </c>
      <c r="G152" s="1">
        <v>39669400</v>
      </c>
      <c r="I152">
        <f t="shared" si="2"/>
        <v>-1.7152658662092258E-3</v>
      </c>
    </row>
    <row r="153" spans="1:9" x14ac:dyDescent="0.2">
      <c r="A153" s="5">
        <v>45923</v>
      </c>
      <c r="B153">
        <v>24.1</v>
      </c>
      <c r="C153">
        <v>24.36</v>
      </c>
      <c r="D153">
        <v>24.05</v>
      </c>
      <c r="E153">
        <v>24.13</v>
      </c>
      <c r="F153">
        <v>23.32</v>
      </c>
      <c r="G153" s="1">
        <v>38955200</v>
      </c>
      <c r="I153">
        <f t="shared" si="2"/>
        <v>3.8743004735256074E-3</v>
      </c>
    </row>
    <row r="154" spans="1:9" x14ac:dyDescent="0.2">
      <c r="A154" s="5">
        <v>45922</v>
      </c>
      <c r="B154">
        <v>24.28</v>
      </c>
      <c r="C154">
        <v>24.8</v>
      </c>
      <c r="D154">
        <v>24.03</v>
      </c>
      <c r="E154">
        <v>24.04</v>
      </c>
      <c r="F154">
        <v>23.23</v>
      </c>
      <c r="G154" s="1">
        <v>67863300</v>
      </c>
      <c r="I154">
        <f t="shared" si="2"/>
        <v>0</v>
      </c>
    </row>
    <row r="155" spans="1:9" x14ac:dyDescent="0.2">
      <c r="A155" s="5">
        <v>45919</v>
      </c>
      <c r="B155">
        <v>24.25</v>
      </c>
      <c r="C155">
        <v>24.25</v>
      </c>
      <c r="D155">
        <v>23.82</v>
      </c>
      <c r="E155">
        <v>24.03</v>
      </c>
      <c r="F155">
        <v>23.23</v>
      </c>
      <c r="G155" s="1">
        <v>86577600</v>
      </c>
      <c r="I155">
        <f t="shared" si="2"/>
        <v>-4.7129391602399075E-3</v>
      </c>
    </row>
    <row r="156" spans="1:9" x14ac:dyDescent="0.2">
      <c r="A156" s="5">
        <v>45918</v>
      </c>
      <c r="B156">
        <v>24.05</v>
      </c>
      <c r="C156">
        <v>24.24</v>
      </c>
      <c r="D156">
        <v>23.96</v>
      </c>
      <c r="E156">
        <v>24.15</v>
      </c>
      <c r="F156">
        <v>23.34</v>
      </c>
      <c r="G156" s="1">
        <v>34419000</v>
      </c>
      <c r="I156">
        <f t="shared" si="2"/>
        <v>4.3029259896730388E-3</v>
      </c>
    </row>
    <row r="157" spans="1:9" x14ac:dyDescent="0.2">
      <c r="A157" s="5">
        <v>45917</v>
      </c>
      <c r="B157">
        <v>23.98</v>
      </c>
      <c r="C157">
        <v>24.39</v>
      </c>
      <c r="D157">
        <v>23.9</v>
      </c>
      <c r="E157">
        <v>24.05</v>
      </c>
      <c r="F157">
        <v>23.24</v>
      </c>
      <c r="G157" s="1">
        <v>46351600</v>
      </c>
      <c r="I157">
        <f t="shared" si="2"/>
        <v>6.0606060606059314E-3</v>
      </c>
    </row>
    <row r="158" spans="1:9" x14ac:dyDescent="0.2">
      <c r="A158" s="5">
        <v>45916</v>
      </c>
      <c r="B158">
        <v>23.96</v>
      </c>
      <c r="C158">
        <v>24.22</v>
      </c>
      <c r="D158">
        <v>23.87</v>
      </c>
      <c r="E158">
        <v>23.9</v>
      </c>
      <c r="F158">
        <v>23.1</v>
      </c>
      <c r="G158" s="1">
        <v>57010800</v>
      </c>
      <c r="I158">
        <f t="shared" si="2"/>
        <v>-3.0211480362537886E-3</v>
      </c>
    </row>
    <row r="159" spans="1:9" x14ac:dyDescent="0.2">
      <c r="A159" s="5">
        <v>45915</v>
      </c>
      <c r="B159">
        <v>23.99</v>
      </c>
      <c r="C159">
        <v>24.12</v>
      </c>
      <c r="D159">
        <v>23.68</v>
      </c>
      <c r="E159">
        <v>23.97</v>
      </c>
      <c r="F159">
        <v>23.17</v>
      </c>
      <c r="G159" s="1">
        <v>50760200</v>
      </c>
      <c r="I159">
        <f t="shared" si="2"/>
        <v>4.3346337234504298E-3</v>
      </c>
    </row>
    <row r="160" spans="1:9" x14ac:dyDescent="0.2">
      <c r="A160" s="5">
        <v>45912</v>
      </c>
      <c r="B160">
        <v>24.81</v>
      </c>
      <c r="C160">
        <v>24.84</v>
      </c>
      <c r="D160">
        <v>23.84</v>
      </c>
      <c r="E160">
        <v>23.87</v>
      </c>
      <c r="F160">
        <v>23.07</v>
      </c>
      <c r="G160" s="1">
        <v>81378200</v>
      </c>
      <c r="I160">
        <f t="shared" si="2"/>
        <v>-3.9950062421972569E-2</v>
      </c>
    </row>
    <row r="161" spans="1:9" x14ac:dyDescent="0.2">
      <c r="A161" s="5">
        <v>45911</v>
      </c>
      <c r="B161">
        <v>24.6</v>
      </c>
      <c r="C161">
        <v>24.86</v>
      </c>
      <c r="D161">
        <v>24.54</v>
      </c>
      <c r="E161">
        <v>24.86</v>
      </c>
      <c r="F161">
        <v>24.03</v>
      </c>
      <c r="G161" s="1">
        <v>36784100</v>
      </c>
      <c r="I161">
        <f t="shared" si="2"/>
        <v>1.1789473684210574E-2</v>
      </c>
    </row>
    <row r="162" spans="1:9" x14ac:dyDescent="0.2">
      <c r="A162" s="5">
        <v>45910</v>
      </c>
      <c r="B162">
        <v>24.64</v>
      </c>
      <c r="C162">
        <v>24.65</v>
      </c>
      <c r="D162">
        <v>24.45</v>
      </c>
      <c r="E162">
        <v>24.57</v>
      </c>
      <c r="F162">
        <v>23.75</v>
      </c>
      <c r="G162" s="1">
        <v>32975900</v>
      </c>
      <c r="I162">
        <f t="shared" si="2"/>
        <v>-5.443886097152387E-3</v>
      </c>
    </row>
    <row r="163" spans="1:9" x14ac:dyDescent="0.2">
      <c r="A163" s="5">
        <v>45909</v>
      </c>
      <c r="B163">
        <v>24.55</v>
      </c>
      <c r="C163">
        <v>24.79</v>
      </c>
      <c r="D163">
        <v>24.51</v>
      </c>
      <c r="E163">
        <v>24.71</v>
      </c>
      <c r="F163">
        <v>23.88</v>
      </c>
      <c r="G163" s="1">
        <v>32751300</v>
      </c>
      <c r="I163">
        <f t="shared" si="2"/>
        <v>6.3211125158027211E-3</v>
      </c>
    </row>
    <row r="164" spans="1:9" x14ac:dyDescent="0.2">
      <c r="A164" s="5">
        <v>45908</v>
      </c>
      <c r="B164">
        <v>24.9</v>
      </c>
      <c r="C164">
        <v>24.97</v>
      </c>
      <c r="D164">
        <v>24.31</v>
      </c>
      <c r="E164">
        <v>24.55</v>
      </c>
      <c r="F164">
        <v>23.73</v>
      </c>
      <c r="G164" s="1">
        <v>49242900</v>
      </c>
      <c r="I164">
        <f t="shared" si="2"/>
        <v>-1.3305613305613317E-2</v>
      </c>
    </row>
    <row r="165" spans="1:9" x14ac:dyDescent="0.2">
      <c r="A165" s="5">
        <v>45905</v>
      </c>
      <c r="B165">
        <v>24.57</v>
      </c>
      <c r="C165">
        <v>24.89</v>
      </c>
      <c r="D165">
        <v>24.51</v>
      </c>
      <c r="E165">
        <v>24.88</v>
      </c>
      <c r="F165">
        <v>24.05</v>
      </c>
      <c r="G165" s="1">
        <v>34613200</v>
      </c>
      <c r="I165">
        <f t="shared" si="2"/>
        <v>1.3912310286677988E-2</v>
      </c>
    </row>
    <row r="166" spans="1:9" x14ac:dyDescent="0.2">
      <c r="A166" s="5">
        <v>45904</v>
      </c>
      <c r="B166">
        <v>24.78</v>
      </c>
      <c r="C166">
        <v>24.78</v>
      </c>
      <c r="D166">
        <v>24.35</v>
      </c>
      <c r="E166">
        <v>24.54</v>
      </c>
      <c r="F166">
        <v>23.72</v>
      </c>
      <c r="G166" s="1">
        <v>41695500</v>
      </c>
      <c r="I166">
        <f t="shared" si="2"/>
        <v>-1.0016694490818113E-2</v>
      </c>
    </row>
    <row r="167" spans="1:9" x14ac:dyDescent="0.2">
      <c r="A167" s="5">
        <v>45903</v>
      </c>
      <c r="B167">
        <v>24.88</v>
      </c>
      <c r="C167">
        <v>25.12</v>
      </c>
      <c r="D167">
        <v>24.72</v>
      </c>
      <c r="E167">
        <v>24.79</v>
      </c>
      <c r="F167">
        <v>23.96</v>
      </c>
      <c r="G167" s="1">
        <v>30957600</v>
      </c>
      <c r="I167">
        <f t="shared" si="2"/>
        <v>-7.4565037282518518E-3</v>
      </c>
    </row>
    <row r="168" spans="1:9" x14ac:dyDescent="0.2">
      <c r="A168" s="5">
        <v>45902</v>
      </c>
      <c r="B168">
        <v>24.73</v>
      </c>
      <c r="C168">
        <v>25.07</v>
      </c>
      <c r="D168">
        <v>24.71</v>
      </c>
      <c r="E168">
        <v>24.98</v>
      </c>
      <c r="F168">
        <v>24.14</v>
      </c>
      <c r="G168" s="1">
        <v>44725000</v>
      </c>
      <c r="I168">
        <f t="shared" si="2"/>
        <v>8.7755954868366428E-3</v>
      </c>
    </row>
    <row r="169" spans="1:9" x14ac:dyDescent="0.2">
      <c r="A169" s="5">
        <v>45898</v>
      </c>
      <c r="B169">
        <v>24.68</v>
      </c>
      <c r="C169">
        <v>24.88</v>
      </c>
      <c r="D169">
        <v>24.51</v>
      </c>
      <c r="E169">
        <v>24.76</v>
      </c>
      <c r="F169">
        <v>23.93</v>
      </c>
      <c r="G169" s="1">
        <v>37030000</v>
      </c>
      <c r="I169">
        <f t="shared" si="2"/>
        <v>6.3078216989065844E-3</v>
      </c>
    </row>
    <row r="170" spans="1:9" x14ac:dyDescent="0.2">
      <c r="A170" s="5">
        <v>45897</v>
      </c>
      <c r="B170">
        <v>25.07</v>
      </c>
      <c r="C170">
        <v>25.07</v>
      </c>
      <c r="D170">
        <v>24.51</v>
      </c>
      <c r="E170">
        <v>24.6</v>
      </c>
      <c r="F170">
        <v>23.78</v>
      </c>
      <c r="G170" s="1">
        <v>44306800</v>
      </c>
      <c r="I170">
        <f t="shared" si="2"/>
        <v>-1.8572018159306616E-2</v>
      </c>
    </row>
    <row r="171" spans="1:9" x14ac:dyDescent="0.2">
      <c r="A171" s="5">
        <v>45896</v>
      </c>
      <c r="B171">
        <v>25.01</v>
      </c>
      <c r="C171">
        <v>25.17</v>
      </c>
      <c r="D171">
        <v>24.85</v>
      </c>
      <c r="E171">
        <v>25.07</v>
      </c>
      <c r="F171">
        <v>24.23</v>
      </c>
      <c r="G171" s="1">
        <v>31840300</v>
      </c>
      <c r="I171">
        <f t="shared" si="2"/>
        <v>5.8115400581154244E-3</v>
      </c>
    </row>
    <row r="172" spans="1:9" x14ac:dyDescent="0.2">
      <c r="A172" s="5">
        <v>45895</v>
      </c>
      <c r="B172">
        <v>25.14</v>
      </c>
      <c r="C172">
        <v>25.24</v>
      </c>
      <c r="D172">
        <v>24.87</v>
      </c>
      <c r="E172">
        <v>24.92</v>
      </c>
      <c r="F172">
        <v>24.09</v>
      </c>
      <c r="G172" s="1">
        <v>43938700</v>
      </c>
      <c r="I172">
        <f t="shared" si="2"/>
        <v>-8.6419753086420109E-3</v>
      </c>
    </row>
    <row r="173" spans="1:9" x14ac:dyDescent="0.2">
      <c r="A173" s="5">
        <v>45894</v>
      </c>
      <c r="B173">
        <v>25.88</v>
      </c>
      <c r="C173">
        <v>25.89</v>
      </c>
      <c r="D173">
        <v>25.11</v>
      </c>
      <c r="E173">
        <v>25.14</v>
      </c>
      <c r="F173">
        <v>24.3</v>
      </c>
      <c r="G173" s="1">
        <v>32684200</v>
      </c>
      <c r="I173">
        <f t="shared" si="2"/>
        <v>-2.8388644542183161E-2</v>
      </c>
    </row>
    <row r="174" spans="1:9" x14ac:dyDescent="0.2">
      <c r="A174" s="5">
        <v>45891</v>
      </c>
      <c r="B174">
        <v>25.9</v>
      </c>
      <c r="C174">
        <v>26.11</v>
      </c>
      <c r="D174">
        <v>25.76</v>
      </c>
      <c r="E174">
        <v>25.88</v>
      </c>
      <c r="F174">
        <v>25.01</v>
      </c>
      <c r="G174" s="1">
        <v>34560500</v>
      </c>
      <c r="I174">
        <f t="shared" si="2"/>
        <v>5.2250803858521931E-3</v>
      </c>
    </row>
    <row r="175" spans="1:9" x14ac:dyDescent="0.2">
      <c r="A175" s="5">
        <v>45890</v>
      </c>
      <c r="B175">
        <v>25.41</v>
      </c>
      <c r="C175">
        <v>25.89</v>
      </c>
      <c r="D175">
        <v>25.37</v>
      </c>
      <c r="E175">
        <v>25.74</v>
      </c>
      <c r="F175">
        <v>24.88</v>
      </c>
      <c r="G175" s="1">
        <v>37068100</v>
      </c>
      <c r="I175">
        <f t="shared" si="2"/>
        <v>1.4268242967794449E-2</v>
      </c>
    </row>
    <row r="176" spans="1:9" x14ac:dyDescent="0.2">
      <c r="A176" s="5">
        <v>45889</v>
      </c>
      <c r="B176">
        <v>25.39</v>
      </c>
      <c r="C176">
        <v>25.69</v>
      </c>
      <c r="D176">
        <v>25.34</v>
      </c>
      <c r="E176">
        <v>25.38</v>
      </c>
      <c r="F176">
        <v>24.53</v>
      </c>
      <c r="G176" s="1">
        <v>38111000</v>
      </c>
      <c r="I176">
        <f t="shared" si="2"/>
        <v>2.4519820187986216E-3</v>
      </c>
    </row>
    <row r="177" spans="1:9" x14ac:dyDescent="0.2">
      <c r="A177" s="5">
        <v>45888</v>
      </c>
      <c r="B177">
        <v>25.14</v>
      </c>
      <c r="C177">
        <v>25.43</v>
      </c>
      <c r="D177">
        <v>25.1</v>
      </c>
      <c r="E177">
        <v>25.32</v>
      </c>
      <c r="F177">
        <v>24.47</v>
      </c>
      <c r="G177" s="1">
        <v>29170500</v>
      </c>
      <c r="I177">
        <f t="shared" si="2"/>
        <v>9.9050763516301456E-3</v>
      </c>
    </row>
    <row r="178" spans="1:9" x14ac:dyDescent="0.2">
      <c r="A178" s="5">
        <v>45887</v>
      </c>
      <c r="B178">
        <v>25.14</v>
      </c>
      <c r="C178">
        <v>25.23</v>
      </c>
      <c r="D178">
        <v>25.01</v>
      </c>
      <c r="E178">
        <v>25.07</v>
      </c>
      <c r="F178">
        <v>24.23</v>
      </c>
      <c r="G178" s="1">
        <v>35623300</v>
      </c>
      <c r="I178">
        <f t="shared" si="2"/>
        <v>-2.8806584362140032E-3</v>
      </c>
    </row>
    <row r="179" spans="1:9" x14ac:dyDescent="0.2">
      <c r="A179" s="5">
        <v>45884</v>
      </c>
      <c r="B179">
        <v>25.22</v>
      </c>
      <c r="C179">
        <v>25.3</v>
      </c>
      <c r="D179">
        <v>24.97</v>
      </c>
      <c r="E179">
        <v>25.14</v>
      </c>
      <c r="F179">
        <v>24.3</v>
      </c>
      <c r="G179" s="1">
        <v>31844800</v>
      </c>
      <c r="I179">
        <f t="shared" si="2"/>
        <v>1.2360939431397256E-3</v>
      </c>
    </row>
    <row r="180" spans="1:9" x14ac:dyDescent="0.2">
      <c r="A180" s="5">
        <v>45883</v>
      </c>
      <c r="B180">
        <v>25.09</v>
      </c>
      <c r="C180">
        <v>25.18</v>
      </c>
      <c r="D180">
        <v>24.82</v>
      </c>
      <c r="E180">
        <v>25.11</v>
      </c>
      <c r="F180">
        <v>24.27</v>
      </c>
      <c r="G180" s="1">
        <v>32514000</v>
      </c>
      <c r="I180">
        <f t="shared" si="2"/>
        <v>-2.0559210526316083E-3</v>
      </c>
    </row>
    <row r="181" spans="1:9" x14ac:dyDescent="0.2">
      <c r="A181" s="5">
        <v>45882</v>
      </c>
      <c r="B181">
        <v>24.75</v>
      </c>
      <c r="C181">
        <v>25.2</v>
      </c>
      <c r="D181">
        <v>24.74</v>
      </c>
      <c r="E181">
        <v>25.16</v>
      </c>
      <c r="F181">
        <v>24.32</v>
      </c>
      <c r="G181" s="1">
        <v>40176500</v>
      </c>
      <c r="I181">
        <f t="shared" si="2"/>
        <v>2.0990764063811923E-2</v>
      </c>
    </row>
    <row r="182" spans="1:9" x14ac:dyDescent="0.2">
      <c r="A182" s="5">
        <v>45881</v>
      </c>
      <c r="B182">
        <v>24.66</v>
      </c>
      <c r="C182">
        <v>24.77</v>
      </c>
      <c r="D182">
        <v>24.47</v>
      </c>
      <c r="E182">
        <v>24.65</v>
      </c>
      <c r="F182">
        <v>23.82</v>
      </c>
      <c r="G182" s="1">
        <v>34402700</v>
      </c>
      <c r="I182">
        <f t="shared" si="2"/>
        <v>2.5252525252524713E-3</v>
      </c>
    </row>
    <row r="183" spans="1:9" x14ac:dyDescent="0.2">
      <c r="A183" s="5">
        <v>45880</v>
      </c>
      <c r="B183">
        <v>24.6</v>
      </c>
      <c r="C183">
        <v>24.92</v>
      </c>
      <c r="D183">
        <v>24.53</v>
      </c>
      <c r="E183">
        <v>24.58</v>
      </c>
      <c r="F183">
        <v>23.76</v>
      </c>
      <c r="G183" s="1">
        <v>38115700</v>
      </c>
      <c r="I183">
        <f t="shared" si="2"/>
        <v>0</v>
      </c>
    </row>
    <row r="184" spans="1:9" x14ac:dyDescent="0.2">
      <c r="A184" s="5">
        <v>45877</v>
      </c>
      <c r="B184">
        <v>24.29</v>
      </c>
      <c r="C184">
        <v>24.61</v>
      </c>
      <c r="D184">
        <v>24.16</v>
      </c>
      <c r="E184">
        <v>24.58</v>
      </c>
      <c r="F184">
        <v>23.76</v>
      </c>
      <c r="G184" s="1">
        <v>36377000</v>
      </c>
      <c r="I184">
        <f t="shared" si="2"/>
        <v>1.451750640478223E-2</v>
      </c>
    </row>
    <row r="185" spans="1:9" x14ac:dyDescent="0.2">
      <c r="A185" s="5">
        <v>45876</v>
      </c>
      <c r="B185">
        <v>24.17</v>
      </c>
      <c r="C185">
        <v>24.47</v>
      </c>
      <c r="D185">
        <v>23.94</v>
      </c>
      <c r="E185">
        <v>24.23</v>
      </c>
      <c r="F185">
        <v>23.42</v>
      </c>
      <c r="G185" s="1">
        <v>45494400</v>
      </c>
      <c r="I185">
        <f t="shared" si="2"/>
        <v>1.2537829658452343E-2</v>
      </c>
    </row>
    <row r="186" spans="1:9" x14ac:dyDescent="0.2">
      <c r="A186" s="5">
        <v>45875</v>
      </c>
      <c r="B186">
        <v>24.68</v>
      </c>
      <c r="C186">
        <v>24.71</v>
      </c>
      <c r="D186">
        <v>23.86</v>
      </c>
      <c r="E186">
        <v>23.93</v>
      </c>
      <c r="F186">
        <v>23.13</v>
      </c>
      <c r="G186" s="1">
        <v>65689200</v>
      </c>
      <c r="I186">
        <f t="shared" si="2"/>
        <v>-3.3026755852842919E-2</v>
      </c>
    </row>
    <row r="187" spans="1:9" x14ac:dyDescent="0.2">
      <c r="A187" s="5">
        <v>45874</v>
      </c>
      <c r="B187">
        <v>24.27</v>
      </c>
      <c r="C187">
        <v>24.89</v>
      </c>
      <c r="D187">
        <v>24.27</v>
      </c>
      <c r="E187">
        <v>24.75</v>
      </c>
      <c r="F187">
        <v>23.92</v>
      </c>
      <c r="G187" s="1">
        <v>113955100</v>
      </c>
      <c r="I187">
        <f t="shared" si="2"/>
        <v>5.1890941072999269E-2</v>
      </c>
    </row>
    <row r="188" spans="1:9" x14ac:dyDescent="0.2">
      <c r="A188" s="5">
        <v>45873</v>
      </c>
      <c r="B188">
        <v>23.44</v>
      </c>
      <c r="C188">
        <v>23.68</v>
      </c>
      <c r="D188">
        <v>23.4</v>
      </c>
      <c r="E188">
        <v>23.53</v>
      </c>
      <c r="F188">
        <v>22.74</v>
      </c>
      <c r="G188" s="1">
        <v>57010700</v>
      </c>
      <c r="I188">
        <f t="shared" si="2"/>
        <v>1.7621145374448965E-3</v>
      </c>
    </row>
    <row r="189" spans="1:9" x14ac:dyDescent="0.2">
      <c r="A189" s="5">
        <v>45870</v>
      </c>
      <c r="B189">
        <v>23.3</v>
      </c>
      <c r="C189">
        <v>23.52</v>
      </c>
      <c r="D189">
        <v>23.11</v>
      </c>
      <c r="E189">
        <v>23.49</v>
      </c>
      <c r="F189">
        <v>22.7</v>
      </c>
      <c r="G189" s="1">
        <v>51332700</v>
      </c>
      <c r="I189">
        <f t="shared" si="2"/>
        <v>8.440693025321978E-3</v>
      </c>
    </row>
    <row r="190" spans="1:9" x14ac:dyDescent="0.2">
      <c r="A190" s="5">
        <v>45869</v>
      </c>
      <c r="B190">
        <v>23.6</v>
      </c>
      <c r="C190">
        <v>23.84</v>
      </c>
      <c r="D190">
        <v>23.14</v>
      </c>
      <c r="E190">
        <v>23.29</v>
      </c>
      <c r="F190">
        <v>22.51</v>
      </c>
      <c r="G190" s="1">
        <v>62768300</v>
      </c>
      <c r="I190">
        <f t="shared" si="2"/>
        <v>-2.1729682746631899E-2</v>
      </c>
    </row>
    <row r="191" spans="1:9" x14ac:dyDescent="0.2">
      <c r="A191" s="5">
        <v>45868</v>
      </c>
      <c r="B191">
        <v>24.32</v>
      </c>
      <c r="C191">
        <v>24.4</v>
      </c>
      <c r="D191">
        <v>23.8</v>
      </c>
      <c r="E191">
        <v>23.81</v>
      </c>
      <c r="F191">
        <v>23.01</v>
      </c>
      <c r="G191" s="1">
        <v>35649500</v>
      </c>
      <c r="I191">
        <f t="shared" si="2"/>
        <v>-2.0434227330778924E-2</v>
      </c>
    </row>
    <row r="192" spans="1:9" x14ac:dyDescent="0.2">
      <c r="A192" s="5">
        <v>45867</v>
      </c>
      <c r="B192">
        <v>24.31</v>
      </c>
      <c r="C192">
        <v>24.33</v>
      </c>
      <c r="D192">
        <v>23.93</v>
      </c>
      <c r="E192">
        <v>24.3</v>
      </c>
      <c r="F192">
        <v>23.49</v>
      </c>
      <c r="G192" s="1">
        <v>38499800</v>
      </c>
      <c r="I192">
        <f t="shared" si="2"/>
        <v>-4.2553191489368353E-4</v>
      </c>
    </row>
    <row r="193" spans="1:9" x14ac:dyDescent="0.2">
      <c r="A193" s="5">
        <v>45866</v>
      </c>
      <c r="B193">
        <v>24.68</v>
      </c>
      <c r="C193">
        <v>24.73</v>
      </c>
      <c r="D193">
        <v>24.24</v>
      </c>
      <c r="E193">
        <v>24.31</v>
      </c>
      <c r="F193">
        <v>23.5</v>
      </c>
      <c r="G193" s="1">
        <v>31096600</v>
      </c>
      <c r="I193">
        <f t="shared" si="2"/>
        <v>-1.9198664440734592E-2</v>
      </c>
    </row>
    <row r="194" spans="1:9" x14ac:dyDescent="0.2">
      <c r="A194" s="5">
        <v>45863</v>
      </c>
      <c r="B194">
        <v>24.97</v>
      </c>
      <c r="C194">
        <v>24.97</v>
      </c>
      <c r="D194">
        <v>24.62</v>
      </c>
      <c r="E194">
        <v>24.79</v>
      </c>
      <c r="F194">
        <v>23.96</v>
      </c>
      <c r="G194" s="1">
        <v>35643400</v>
      </c>
      <c r="I194">
        <f t="shared" si="2"/>
        <v>-5.3964300539642591E-3</v>
      </c>
    </row>
    <row r="195" spans="1:9" x14ac:dyDescent="0.2">
      <c r="A195" s="5">
        <v>45862</v>
      </c>
      <c r="B195">
        <v>25.39</v>
      </c>
      <c r="C195">
        <v>25.54</v>
      </c>
      <c r="D195">
        <v>25.26</v>
      </c>
      <c r="E195">
        <v>25.35</v>
      </c>
      <c r="F195">
        <v>24.09</v>
      </c>
      <c r="G195" s="1">
        <v>25672400</v>
      </c>
      <c r="I195">
        <f t="shared" ref="I195:I258" si="3">(F195-F196)/F196</f>
        <v>0</v>
      </c>
    </row>
    <row r="196" spans="1:9" x14ac:dyDescent="0.2">
      <c r="A196" s="5">
        <v>45861</v>
      </c>
      <c r="B196">
        <v>25.38</v>
      </c>
      <c r="C196">
        <v>25.53</v>
      </c>
      <c r="D196">
        <v>25.25</v>
      </c>
      <c r="E196">
        <v>25.36</v>
      </c>
      <c r="F196">
        <v>24.09</v>
      </c>
      <c r="G196" s="1">
        <v>42073300</v>
      </c>
      <c r="I196">
        <f t="shared" si="3"/>
        <v>8.3717036416910539E-3</v>
      </c>
    </row>
    <row r="197" spans="1:9" x14ac:dyDescent="0.2">
      <c r="A197" s="5">
        <v>45860</v>
      </c>
      <c r="B197">
        <v>24.37</v>
      </c>
      <c r="C197">
        <v>25.14</v>
      </c>
      <c r="D197">
        <v>24.34</v>
      </c>
      <c r="E197">
        <v>25.14</v>
      </c>
      <c r="F197">
        <v>23.89</v>
      </c>
      <c r="G197" s="1">
        <v>48091600</v>
      </c>
      <c r="I197">
        <f t="shared" si="3"/>
        <v>3.6442516268980471E-2</v>
      </c>
    </row>
    <row r="198" spans="1:9" x14ac:dyDescent="0.2">
      <c r="A198" s="5">
        <v>45859</v>
      </c>
      <c r="B198">
        <v>24.59</v>
      </c>
      <c r="C198">
        <v>24.65</v>
      </c>
      <c r="D198">
        <v>24.26</v>
      </c>
      <c r="E198">
        <v>24.26</v>
      </c>
      <c r="F198">
        <v>23.05</v>
      </c>
      <c r="G198" s="1">
        <v>33663400</v>
      </c>
      <c r="I198">
        <f t="shared" si="3"/>
        <v>-8.6021505376343774E-3</v>
      </c>
    </row>
    <row r="199" spans="1:9" x14ac:dyDescent="0.2">
      <c r="A199" s="5">
        <v>45856</v>
      </c>
      <c r="B199">
        <v>24.71</v>
      </c>
      <c r="C199">
        <v>24.78</v>
      </c>
      <c r="D199">
        <v>24.39</v>
      </c>
      <c r="E199">
        <v>24.47</v>
      </c>
      <c r="F199">
        <v>23.25</v>
      </c>
      <c r="G199" s="1">
        <v>36309400</v>
      </c>
      <c r="I199">
        <f t="shared" si="3"/>
        <v>-4.2826552462527376E-3</v>
      </c>
    </row>
    <row r="200" spans="1:9" x14ac:dyDescent="0.2">
      <c r="A200" s="5">
        <v>45855</v>
      </c>
      <c r="B200">
        <v>24.49</v>
      </c>
      <c r="C200">
        <v>24.78</v>
      </c>
      <c r="D200">
        <v>24.45</v>
      </c>
      <c r="E200">
        <v>24.58</v>
      </c>
      <c r="F200">
        <v>23.35</v>
      </c>
      <c r="G200" s="1">
        <v>47393900</v>
      </c>
      <c r="I200">
        <f t="shared" si="3"/>
        <v>-1.2831479897347129E-3</v>
      </c>
    </row>
    <row r="201" spans="1:9" x14ac:dyDescent="0.2">
      <c r="A201" s="5">
        <v>45854</v>
      </c>
      <c r="B201">
        <v>24.68</v>
      </c>
      <c r="C201">
        <v>24.96</v>
      </c>
      <c r="D201">
        <v>24.53</v>
      </c>
      <c r="E201">
        <v>24.61</v>
      </c>
      <c r="F201">
        <v>23.38</v>
      </c>
      <c r="G201" s="1">
        <v>44218200</v>
      </c>
      <c r="I201">
        <f t="shared" si="3"/>
        <v>0</v>
      </c>
    </row>
    <row r="202" spans="1:9" x14ac:dyDescent="0.2">
      <c r="A202" s="5">
        <v>45853</v>
      </c>
      <c r="B202">
        <v>25.34</v>
      </c>
      <c r="C202">
        <v>25.44</v>
      </c>
      <c r="D202">
        <v>24.53</v>
      </c>
      <c r="E202">
        <v>24.61</v>
      </c>
      <c r="F202">
        <v>23.38</v>
      </c>
      <c r="G202" s="1">
        <v>54458000</v>
      </c>
      <c r="I202">
        <f t="shared" si="3"/>
        <v>-2.947281029472814E-2</v>
      </c>
    </row>
    <row r="203" spans="1:9" x14ac:dyDescent="0.2">
      <c r="A203" s="5">
        <v>45852</v>
      </c>
      <c r="B203">
        <v>25.58</v>
      </c>
      <c r="C203">
        <v>25.63</v>
      </c>
      <c r="D203">
        <v>25.34</v>
      </c>
      <c r="E203">
        <v>25.35</v>
      </c>
      <c r="F203">
        <v>24.09</v>
      </c>
      <c r="G203" s="1">
        <v>25918000</v>
      </c>
      <c r="I203">
        <f t="shared" si="3"/>
        <v>-1.1489536315141614E-2</v>
      </c>
    </row>
    <row r="204" spans="1:9" x14ac:dyDescent="0.2">
      <c r="A204" s="5">
        <v>45849</v>
      </c>
      <c r="B204">
        <v>25.65</v>
      </c>
      <c r="C204">
        <v>25.72</v>
      </c>
      <c r="D204">
        <v>25.42</v>
      </c>
      <c r="E204">
        <v>25.65</v>
      </c>
      <c r="F204">
        <v>24.37</v>
      </c>
      <c r="G204" s="1">
        <v>34864400</v>
      </c>
      <c r="I204">
        <f t="shared" si="3"/>
        <v>-4.8999591670068378E-3</v>
      </c>
    </row>
    <row r="205" spans="1:9" x14ac:dyDescent="0.2">
      <c r="A205" s="5">
        <v>45848</v>
      </c>
      <c r="B205">
        <v>25.58</v>
      </c>
      <c r="C205">
        <v>26.05</v>
      </c>
      <c r="D205">
        <v>25.54</v>
      </c>
      <c r="E205">
        <v>25.78</v>
      </c>
      <c r="F205">
        <v>24.49</v>
      </c>
      <c r="G205" s="1">
        <v>39499200</v>
      </c>
      <c r="I205">
        <f t="shared" si="3"/>
        <v>8.649093904447994E-3</v>
      </c>
    </row>
    <row r="206" spans="1:9" x14ac:dyDescent="0.2">
      <c r="A206" s="5">
        <v>45847</v>
      </c>
      <c r="B206">
        <v>25.69</v>
      </c>
      <c r="C206">
        <v>25.84</v>
      </c>
      <c r="D206">
        <v>25.34</v>
      </c>
      <c r="E206">
        <v>25.56</v>
      </c>
      <c r="F206">
        <v>24.28</v>
      </c>
      <c r="G206" s="1">
        <v>38362200</v>
      </c>
      <c r="I206">
        <f t="shared" si="3"/>
        <v>-2.4650780608052062E-3</v>
      </c>
    </row>
    <row r="207" spans="1:9" x14ac:dyDescent="0.2">
      <c r="A207" s="5">
        <v>45846</v>
      </c>
      <c r="B207">
        <v>25.24</v>
      </c>
      <c r="C207">
        <v>25.96</v>
      </c>
      <c r="D207">
        <v>25.21</v>
      </c>
      <c r="E207">
        <v>25.62</v>
      </c>
      <c r="F207">
        <v>24.34</v>
      </c>
      <c r="G207" s="1">
        <v>51275800</v>
      </c>
      <c r="I207">
        <f t="shared" si="3"/>
        <v>1.5012510425354439E-2</v>
      </c>
    </row>
    <row r="208" spans="1:9" x14ac:dyDescent="0.2">
      <c r="A208" s="5">
        <v>45845</v>
      </c>
      <c r="B208">
        <v>25.36</v>
      </c>
      <c r="C208">
        <v>25.53</v>
      </c>
      <c r="D208">
        <v>25.14</v>
      </c>
      <c r="E208">
        <v>25.24</v>
      </c>
      <c r="F208">
        <v>23.98</v>
      </c>
      <c r="G208" s="1">
        <v>34905900</v>
      </c>
      <c r="I208">
        <f t="shared" si="3"/>
        <v>-5.39195354624633E-3</v>
      </c>
    </row>
    <row r="209" spans="1:9" x14ac:dyDescent="0.2">
      <c r="A209" s="5">
        <v>45841</v>
      </c>
      <c r="B209">
        <v>25.35</v>
      </c>
      <c r="C209">
        <v>25.52</v>
      </c>
      <c r="D209">
        <v>25.22</v>
      </c>
      <c r="E209">
        <v>25.38</v>
      </c>
      <c r="F209">
        <v>24.11</v>
      </c>
      <c r="G209" s="1">
        <v>27104600</v>
      </c>
      <c r="I209">
        <f t="shared" si="3"/>
        <v>2.0781379883624568E-3</v>
      </c>
    </row>
    <row r="210" spans="1:9" x14ac:dyDescent="0.2">
      <c r="A210" s="5">
        <v>45840</v>
      </c>
      <c r="B210">
        <v>25.13</v>
      </c>
      <c r="C210">
        <v>25.36</v>
      </c>
      <c r="D210">
        <v>25.03</v>
      </c>
      <c r="E210">
        <v>25.32</v>
      </c>
      <c r="F210">
        <v>24.06</v>
      </c>
      <c r="G210" s="1">
        <v>36772100</v>
      </c>
      <c r="I210">
        <f t="shared" si="3"/>
        <v>1.1349306431273626E-2</v>
      </c>
    </row>
    <row r="211" spans="1:9" x14ac:dyDescent="0.2">
      <c r="A211" s="5">
        <v>45839</v>
      </c>
      <c r="B211">
        <v>24.28</v>
      </c>
      <c r="C211">
        <v>25.35</v>
      </c>
      <c r="D211">
        <v>24.26</v>
      </c>
      <c r="E211">
        <v>25.04</v>
      </c>
      <c r="F211">
        <v>23.79</v>
      </c>
      <c r="G211" s="1">
        <v>59259900</v>
      </c>
      <c r="I211">
        <f t="shared" si="3"/>
        <v>3.3000434216239598E-2</v>
      </c>
    </row>
    <row r="212" spans="1:9" x14ac:dyDescent="0.2">
      <c r="A212" s="5">
        <v>45838</v>
      </c>
      <c r="B212">
        <v>24.21</v>
      </c>
      <c r="C212">
        <v>24.38</v>
      </c>
      <c r="D212">
        <v>24.12</v>
      </c>
      <c r="E212">
        <v>24.24</v>
      </c>
      <c r="F212">
        <v>23.03</v>
      </c>
      <c r="G212" s="1">
        <v>44730900</v>
      </c>
      <c r="I212">
        <f t="shared" si="3"/>
        <v>2.1758050478677417E-3</v>
      </c>
    </row>
    <row r="213" spans="1:9" x14ac:dyDescent="0.2">
      <c r="A213" s="5">
        <v>45835</v>
      </c>
      <c r="B213">
        <v>24.35</v>
      </c>
      <c r="C213">
        <v>24.42</v>
      </c>
      <c r="D213">
        <v>24.08</v>
      </c>
      <c r="E213">
        <v>24.19</v>
      </c>
      <c r="F213">
        <v>22.98</v>
      </c>
      <c r="G213" s="1">
        <v>39528800</v>
      </c>
      <c r="I213">
        <f t="shared" si="3"/>
        <v>-2.1710811984368521E-3</v>
      </c>
    </row>
    <row r="214" spans="1:9" x14ac:dyDescent="0.2">
      <c r="A214" s="5">
        <v>45834</v>
      </c>
      <c r="B214">
        <v>24.32</v>
      </c>
      <c r="C214">
        <v>24.43</v>
      </c>
      <c r="D214">
        <v>24.16</v>
      </c>
      <c r="E214">
        <v>24.24</v>
      </c>
      <c r="F214">
        <v>23.03</v>
      </c>
      <c r="G214" s="1">
        <v>31835300</v>
      </c>
      <c r="I214">
        <f t="shared" si="3"/>
        <v>-8.6767895878523099E-4</v>
      </c>
    </row>
    <row r="215" spans="1:9" x14ac:dyDescent="0.2">
      <c r="A215" s="5">
        <v>45833</v>
      </c>
      <c r="B215">
        <v>24.21</v>
      </c>
      <c r="C215">
        <v>24.37</v>
      </c>
      <c r="D215">
        <v>24.07</v>
      </c>
      <c r="E215">
        <v>24.26</v>
      </c>
      <c r="F215">
        <v>23.05</v>
      </c>
      <c r="G215" s="1">
        <v>25603300</v>
      </c>
      <c r="I215">
        <f t="shared" si="3"/>
        <v>-2.1645021645021953E-3</v>
      </c>
    </row>
    <row r="216" spans="1:9" x14ac:dyDescent="0.2">
      <c r="A216" s="5">
        <v>45832</v>
      </c>
      <c r="B216">
        <v>24.14</v>
      </c>
      <c r="C216">
        <v>24.4</v>
      </c>
      <c r="D216">
        <v>24.11</v>
      </c>
      <c r="E216">
        <v>24.31</v>
      </c>
      <c r="F216">
        <v>23.1</v>
      </c>
      <c r="G216" s="1">
        <v>34404200</v>
      </c>
      <c r="I216">
        <f t="shared" si="3"/>
        <v>1.1826544021025105E-2</v>
      </c>
    </row>
    <row r="217" spans="1:9" x14ac:dyDescent="0.2">
      <c r="A217" s="5">
        <v>45831</v>
      </c>
      <c r="B217">
        <v>23.87</v>
      </c>
      <c r="C217">
        <v>24.09</v>
      </c>
      <c r="D217">
        <v>23.77</v>
      </c>
      <c r="E217">
        <v>24.03</v>
      </c>
      <c r="F217">
        <v>22.83</v>
      </c>
      <c r="G217" s="1">
        <v>31959100</v>
      </c>
      <c r="I217">
        <f t="shared" si="3"/>
        <v>2.6350461133069266E-3</v>
      </c>
    </row>
    <row r="218" spans="1:9" x14ac:dyDescent="0.2">
      <c r="A218" s="5">
        <v>45828</v>
      </c>
      <c r="B218">
        <v>24</v>
      </c>
      <c r="C218">
        <v>24.09</v>
      </c>
      <c r="D218">
        <v>23.77</v>
      </c>
      <c r="E218">
        <v>23.97</v>
      </c>
      <c r="F218">
        <v>22.77</v>
      </c>
      <c r="G218" s="1">
        <v>63098100</v>
      </c>
      <c r="I218">
        <f t="shared" si="3"/>
        <v>3.5257822829439529E-3</v>
      </c>
    </row>
    <row r="219" spans="1:9" x14ac:dyDescent="0.2">
      <c r="A219" s="5">
        <v>45826</v>
      </c>
      <c r="B219">
        <v>23.96</v>
      </c>
      <c r="C219">
        <v>24.08</v>
      </c>
      <c r="D219">
        <v>23.77</v>
      </c>
      <c r="E219">
        <v>23.88</v>
      </c>
      <c r="F219">
        <v>22.69</v>
      </c>
      <c r="G219" s="1">
        <v>37076200</v>
      </c>
      <c r="I219">
        <f t="shared" si="3"/>
        <v>-4.824561403508747E-3</v>
      </c>
    </row>
    <row r="220" spans="1:9" x14ac:dyDescent="0.2">
      <c r="A220" s="5">
        <v>45825</v>
      </c>
      <c r="B220">
        <v>24.27</v>
      </c>
      <c r="C220">
        <v>24.32</v>
      </c>
      <c r="D220">
        <v>23.91</v>
      </c>
      <c r="E220">
        <v>24</v>
      </c>
      <c r="F220">
        <v>22.8</v>
      </c>
      <c r="G220" s="1">
        <v>40408800</v>
      </c>
      <c r="I220">
        <f t="shared" si="3"/>
        <v>-1.6393442622950775E-2</v>
      </c>
    </row>
    <row r="221" spans="1:9" x14ac:dyDescent="0.2">
      <c r="A221" s="5">
        <v>45824</v>
      </c>
      <c r="B221">
        <v>24.5</v>
      </c>
      <c r="C221">
        <v>24.59</v>
      </c>
      <c r="D221">
        <v>24.28</v>
      </c>
      <c r="E221">
        <v>24.4</v>
      </c>
      <c r="F221">
        <v>23.18</v>
      </c>
      <c r="G221" s="1">
        <v>35102100</v>
      </c>
      <c r="I221">
        <f t="shared" si="3"/>
        <v>-6.0034305317324425E-3</v>
      </c>
    </row>
    <row r="222" spans="1:9" x14ac:dyDescent="0.2">
      <c r="A222" s="5">
        <v>45821</v>
      </c>
      <c r="B222">
        <v>24.79</v>
      </c>
      <c r="C222">
        <v>24.95</v>
      </c>
      <c r="D222">
        <v>24.46</v>
      </c>
      <c r="E222">
        <v>24.54</v>
      </c>
      <c r="F222">
        <v>23.32</v>
      </c>
      <c r="G222" s="1">
        <v>46368400</v>
      </c>
      <c r="I222">
        <f t="shared" si="3"/>
        <v>-1.1864406779661064E-2</v>
      </c>
    </row>
    <row r="223" spans="1:9" x14ac:dyDescent="0.2">
      <c r="A223" s="5">
        <v>45820</v>
      </c>
      <c r="B223">
        <v>24.53</v>
      </c>
      <c r="C223">
        <v>24.88</v>
      </c>
      <c r="D223">
        <v>24.53</v>
      </c>
      <c r="E223">
        <v>24.84</v>
      </c>
      <c r="F223">
        <v>23.6</v>
      </c>
      <c r="G223" s="1">
        <v>42465400</v>
      </c>
      <c r="I223">
        <f t="shared" si="3"/>
        <v>1.4617368873602744E-2</v>
      </c>
    </row>
    <row r="224" spans="1:9" x14ac:dyDescent="0.2">
      <c r="A224" s="5">
        <v>45819</v>
      </c>
      <c r="B224">
        <v>24.33</v>
      </c>
      <c r="C224">
        <v>24.69</v>
      </c>
      <c r="D224">
        <v>24.32</v>
      </c>
      <c r="E224">
        <v>24.48</v>
      </c>
      <c r="F224">
        <v>23.26</v>
      </c>
      <c r="G224" s="1">
        <v>38558700</v>
      </c>
      <c r="I224">
        <f t="shared" si="3"/>
        <v>7.3624945864011132E-3</v>
      </c>
    </row>
    <row r="225" spans="1:9" x14ac:dyDescent="0.2">
      <c r="A225" s="5">
        <v>45818</v>
      </c>
      <c r="B225">
        <v>23.97</v>
      </c>
      <c r="C225">
        <v>24.42</v>
      </c>
      <c r="D225">
        <v>23.96</v>
      </c>
      <c r="E225">
        <v>24.3</v>
      </c>
      <c r="F225">
        <v>23.09</v>
      </c>
      <c r="G225" s="1">
        <v>40439200</v>
      </c>
      <c r="I225">
        <f t="shared" si="3"/>
        <v>1.4053579270970588E-2</v>
      </c>
    </row>
    <row r="226" spans="1:9" x14ac:dyDescent="0.2">
      <c r="A226" s="5">
        <v>45817</v>
      </c>
      <c r="B226">
        <v>23.44</v>
      </c>
      <c r="C226">
        <v>24.14</v>
      </c>
      <c r="D226">
        <v>23.42</v>
      </c>
      <c r="E226">
        <v>23.97</v>
      </c>
      <c r="F226">
        <v>22.77</v>
      </c>
      <c r="G226" s="1">
        <v>42542600</v>
      </c>
      <c r="I226">
        <f t="shared" si="3"/>
        <v>2.6137899954934578E-2</v>
      </c>
    </row>
    <row r="227" spans="1:9" x14ac:dyDescent="0.2">
      <c r="A227" s="5">
        <v>45814</v>
      </c>
      <c r="B227">
        <v>23.27</v>
      </c>
      <c r="C227">
        <v>23.58</v>
      </c>
      <c r="D227">
        <v>23.25</v>
      </c>
      <c r="E227">
        <v>23.35</v>
      </c>
      <c r="F227">
        <v>22.19</v>
      </c>
      <c r="G227" s="1">
        <v>30426200</v>
      </c>
      <c r="I227">
        <f t="shared" si="3"/>
        <v>1.0013654984069295E-2</v>
      </c>
    </row>
    <row r="228" spans="1:9" x14ac:dyDescent="0.2">
      <c r="A228" s="5">
        <v>45813</v>
      </c>
      <c r="B228">
        <v>23.44</v>
      </c>
      <c r="C228">
        <v>23.44</v>
      </c>
      <c r="D228">
        <v>23.08</v>
      </c>
      <c r="E228">
        <v>23.12</v>
      </c>
      <c r="F228">
        <v>21.97</v>
      </c>
      <c r="G228" s="1">
        <v>33173600</v>
      </c>
      <c r="I228">
        <f t="shared" si="3"/>
        <v>-1.1251125112511251E-2</v>
      </c>
    </row>
    <row r="229" spans="1:9" x14ac:dyDescent="0.2">
      <c r="A229" s="5">
        <v>45812</v>
      </c>
      <c r="B229">
        <v>23.41</v>
      </c>
      <c r="C229">
        <v>23.54</v>
      </c>
      <c r="D229">
        <v>23.35</v>
      </c>
      <c r="E229">
        <v>23.39</v>
      </c>
      <c r="F229">
        <v>22.22</v>
      </c>
      <c r="G229" s="1">
        <v>24500100</v>
      </c>
      <c r="I229">
        <f t="shared" si="3"/>
        <v>1.3519603424965111E-3</v>
      </c>
    </row>
    <row r="230" spans="1:9" x14ac:dyDescent="0.2">
      <c r="A230" s="5">
        <v>45811</v>
      </c>
      <c r="B230">
        <v>23.38</v>
      </c>
      <c r="C230">
        <v>23.54</v>
      </c>
      <c r="D230">
        <v>23.06</v>
      </c>
      <c r="E230">
        <v>23.35</v>
      </c>
      <c r="F230">
        <v>22.19</v>
      </c>
      <c r="G230" s="1">
        <v>37887100</v>
      </c>
      <c r="I230">
        <f t="shared" si="3"/>
        <v>-4.486316733961322E-3</v>
      </c>
    </row>
    <row r="231" spans="1:9" x14ac:dyDescent="0.2">
      <c r="A231" s="5">
        <v>45810</v>
      </c>
      <c r="B231">
        <v>23.54</v>
      </c>
      <c r="C231">
        <v>23.56</v>
      </c>
      <c r="D231">
        <v>23.22</v>
      </c>
      <c r="E231">
        <v>23.46</v>
      </c>
      <c r="F231">
        <v>22.29</v>
      </c>
      <c r="G231" s="1">
        <v>30443900</v>
      </c>
      <c r="I231">
        <f t="shared" si="3"/>
        <v>-1.3440860215054272E-3</v>
      </c>
    </row>
    <row r="232" spans="1:9" x14ac:dyDescent="0.2">
      <c r="A232" s="5">
        <v>45807</v>
      </c>
      <c r="B232">
        <v>23.48</v>
      </c>
      <c r="C232">
        <v>23.62</v>
      </c>
      <c r="D232">
        <v>23.16</v>
      </c>
      <c r="E232">
        <v>23.49</v>
      </c>
      <c r="F232">
        <v>22.32</v>
      </c>
      <c r="G232" s="1">
        <v>56618600</v>
      </c>
      <c r="I232">
        <f t="shared" si="3"/>
        <v>1.7953321364452041E-3</v>
      </c>
    </row>
    <row r="233" spans="1:9" x14ac:dyDescent="0.2">
      <c r="A233" s="5">
        <v>45806</v>
      </c>
      <c r="B233">
        <v>23.33</v>
      </c>
      <c r="C233">
        <v>23.45</v>
      </c>
      <c r="D233">
        <v>23.16</v>
      </c>
      <c r="E233">
        <v>23.45</v>
      </c>
      <c r="F233">
        <v>22.28</v>
      </c>
      <c r="G233" s="1">
        <v>26091400</v>
      </c>
      <c r="I233">
        <f t="shared" si="3"/>
        <v>1.1807447774750299E-2</v>
      </c>
    </row>
    <row r="234" spans="1:9" x14ac:dyDescent="0.2">
      <c r="A234" s="5">
        <v>45805</v>
      </c>
      <c r="B234">
        <v>23.61</v>
      </c>
      <c r="C234">
        <v>23.64</v>
      </c>
      <c r="D234">
        <v>23.11</v>
      </c>
      <c r="E234">
        <v>23.18</v>
      </c>
      <c r="F234">
        <v>22.02</v>
      </c>
      <c r="G234" s="1">
        <v>36737200</v>
      </c>
      <c r="I234">
        <f t="shared" si="3"/>
        <v>-1.8279090503789574E-2</v>
      </c>
    </row>
    <row r="235" spans="1:9" x14ac:dyDescent="0.2">
      <c r="A235" s="5">
        <v>45804</v>
      </c>
      <c r="B235">
        <v>23.55</v>
      </c>
      <c r="C235">
        <v>23.66</v>
      </c>
      <c r="D235">
        <v>23.37</v>
      </c>
      <c r="E235">
        <v>23.61</v>
      </c>
      <c r="F235">
        <v>22.43</v>
      </c>
      <c r="G235" s="1">
        <v>36155400</v>
      </c>
      <c r="I235">
        <f t="shared" si="3"/>
        <v>1.2184115523465685E-2</v>
      </c>
    </row>
    <row r="236" spans="1:9" x14ac:dyDescent="0.2">
      <c r="A236" s="5">
        <v>45800</v>
      </c>
      <c r="B236">
        <v>22.95</v>
      </c>
      <c r="C236">
        <v>23.39</v>
      </c>
      <c r="D236">
        <v>22.88</v>
      </c>
      <c r="E236">
        <v>23.32</v>
      </c>
      <c r="F236">
        <v>22.16</v>
      </c>
      <c r="G236" s="1">
        <v>35405400</v>
      </c>
      <c r="I236">
        <f t="shared" si="3"/>
        <v>1.2334399269072616E-2</v>
      </c>
    </row>
    <row r="237" spans="1:9" x14ac:dyDescent="0.2">
      <c r="A237" s="5">
        <v>45799</v>
      </c>
      <c r="B237">
        <v>23.04</v>
      </c>
      <c r="C237">
        <v>23.16</v>
      </c>
      <c r="D237">
        <v>22.81</v>
      </c>
      <c r="E237">
        <v>23.04</v>
      </c>
      <c r="F237">
        <v>21.89</v>
      </c>
      <c r="G237" s="1">
        <v>38602800</v>
      </c>
      <c r="I237">
        <f t="shared" si="3"/>
        <v>0</v>
      </c>
    </row>
    <row r="238" spans="1:9" x14ac:dyDescent="0.2">
      <c r="A238" s="5">
        <v>45798</v>
      </c>
      <c r="B238">
        <v>23.47</v>
      </c>
      <c r="C238">
        <v>23.48</v>
      </c>
      <c r="D238">
        <v>23.04</v>
      </c>
      <c r="E238">
        <v>23.04</v>
      </c>
      <c r="F238">
        <v>21.89</v>
      </c>
      <c r="G238" s="1">
        <v>42984700</v>
      </c>
      <c r="I238">
        <f t="shared" si="3"/>
        <v>-2.0581655480984378E-2</v>
      </c>
    </row>
    <row r="239" spans="1:9" x14ac:dyDescent="0.2">
      <c r="A239" s="5">
        <v>45797</v>
      </c>
      <c r="B239">
        <v>23.17</v>
      </c>
      <c r="C239">
        <v>23.7</v>
      </c>
      <c r="D239">
        <v>23.16</v>
      </c>
      <c r="E239">
        <v>23.52</v>
      </c>
      <c r="F239">
        <v>22.35</v>
      </c>
      <c r="G239" s="1">
        <v>57047500</v>
      </c>
      <c r="I239">
        <f t="shared" si="3"/>
        <v>2.2883295194508008E-2</v>
      </c>
    </row>
    <row r="240" spans="1:9" x14ac:dyDescent="0.2">
      <c r="A240" s="5">
        <v>45796</v>
      </c>
      <c r="B240">
        <v>22.74</v>
      </c>
      <c r="C240">
        <v>23.03</v>
      </c>
      <c r="D240">
        <v>22.64</v>
      </c>
      <c r="E240">
        <v>23</v>
      </c>
      <c r="F240">
        <v>21.85</v>
      </c>
      <c r="G240" s="1">
        <v>31513700</v>
      </c>
      <c r="I240">
        <f t="shared" si="3"/>
        <v>7.3766712770862207E-3</v>
      </c>
    </row>
    <row r="241" spans="1:9" x14ac:dyDescent="0.2">
      <c r="A241" s="5">
        <v>45793</v>
      </c>
      <c r="B241">
        <v>22.65</v>
      </c>
      <c r="C241">
        <v>22.85</v>
      </c>
      <c r="D241">
        <v>22.45</v>
      </c>
      <c r="E241">
        <v>22.83</v>
      </c>
      <c r="F241">
        <v>21.69</v>
      </c>
      <c r="G241" s="1">
        <v>37786800</v>
      </c>
      <c r="I241">
        <f t="shared" si="3"/>
        <v>1.0246856078248831E-2</v>
      </c>
    </row>
    <row r="242" spans="1:9" x14ac:dyDescent="0.2">
      <c r="A242" s="5">
        <v>45792</v>
      </c>
      <c r="B242">
        <v>22.2</v>
      </c>
      <c r="C242">
        <v>22.6</v>
      </c>
      <c r="D242">
        <v>22.09</v>
      </c>
      <c r="E242">
        <v>22.6</v>
      </c>
      <c r="F242">
        <v>21.47</v>
      </c>
      <c r="G242" s="1">
        <v>51800100</v>
      </c>
      <c r="I242">
        <f t="shared" si="3"/>
        <v>2.6290630975143267E-2</v>
      </c>
    </row>
    <row r="243" spans="1:9" x14ac:dyDescent="0.2">
      <c r="A243" s="5">
        <v>45791</v>
      </c>
      <c r="B243">
        <v>22.86</v>
      </c>
      <c r="C243">
        <v>22.9</v>
      </c>
      <c r="D243">
        <v>21.97</v>
      </c>
      <c r="E243">
        <v>22.02</v>
      </c>
      <c r="F243">
        <v>20.92</v>
      </c>
      <c r="G243" s="1">
        <v>59394000</v>
      </c>
      <c r="I243">
        <f t="shared" si="3"/>
        <v>-3.7275655775425617E-2</v>
      </c>
    </row>
    <row r="244" spans="1:9" x14ac:dyDescent="0.2">
      <c r="A244" s="5">
        <v>45790</v>
      </c>
      <c r="B244">
        <v>22.9</v>
      </c>
      <c r="C244">
        <v>22.98</v>
      </c>
      <c r="D244">
        <v>22.49</v>
      </c>
      <c r="E244">
        <v>22.87</v>
      </c>
      <c r="F244">
        <v>21.73</v>
      </c>
      <c r="G244" s="1">
        <v>41193200</v>
      </c>
      <c r="I244">
        <f t="shared" si="3"/>
        <v>-9.5715587967183605E-3</v>
      </c>
    </row>
    <row r="245" spans="1:9" x14ac:dyDescent="0.2">
      <c r="A245" s="5">
        <v>45789</v>
      </c>
      <c r="B245">
        <v>22.23</v>
      </c>
      <c r="C245">
        <v>23.15</v>
      </c>
      <c r="D245">
        <v>22.18</v>
      </c>
      <c r="E245">
        <v>23.09</v>
      </c>
      <c r="F245">
        <v>21.94</v>
      </c>
      <c r="G245" s="1">
        <v>77480900</v>
      </c>
      <c r="I245">
        <f t="shared" si="3"/>
        <v>3.6372224846480845E-2</v>
      </c>
    </row>
    <row r="246" spans="1:9" x14ac:dyDescent="0.2">
      <c r="A246" s="5">
        <v>45786</v>
      </c>
      <c r="B246">
        <v>22.51</v>
      </c>
      <c r="C246">
        <v>22.6</v>
      </c>
      <c r="D246">
        <v>22.26</v>
      </c>
      <c r="E246">
        <v>22.28</v>
      </c>
      <c r="F246">
        <v>21.17</v>
      </c>
      <c r="G246" s="1">
        <v>39059800</v>
      </c>
      <c r="I246">
        <f t="shared" si="3"/>
        <v>-1.1671335200746964E-2</v>
      </c>
    </row>
    <row r="247" spans="1:9" x14ac:dyDescent="0.2">
      <c r="A247" s="5">
        <v>45785</v>
      </c>
      <c r="B247">
        <v>22.82</v>
      </c>
      <c r="C247">
        <v>23.09</v>
      </c>
      <c r="D247">
        <v>22.51</v>
      </c>
      <c r="E247">
        <v>22.97</v>
      </c>
      <c r="F247">
        <v>21.42</v>
      </c>
      <c r="G247" s="1">
        <v>55669800</v>
      </c>
      <c r="I247">
        <f t="shared" si="3"/>
        <v>8.00000000000008E-3</v>
      </c>
    </row>
    <row r="248" spans="1:9" x14ac:dyDescent="0.2">
      <c r="A248" s="5">
        <v>45784</v>
      </c>
      <c r="B248">
        <v>22.99</v>
      </c>
      <c r="C248">
        <v>23.09</v>
      </c>
      <c r="D248">
        <v>22.72</v>
      </c>
      <c r="E248">
        <v>22.79</v>
      </c>
      <c r="F248">
        <v>21.25</v>
      </c>
      <c r="G248" s="1">
        <v>48270500</v>
      </c>
      <c r="I248">
        <f t="shared" si="3"/>
        <v>-3.7505860290669621E-3</v>
      </c>
    </row>
    <row r="249" spans="1:9" x14ac:dyDescent="0.2">
      <c r="A249" s="5">
        <v>45783</v>
      </c>
      <c r="B249">
        <v>23.83</v>
      </c>
      <c r="C249">
        <v>23.89</v>
      </c>
      <c r="D249">
        <v>22.85</v>
      </c>
      <c r="E249">
        <v>22.88</v>
      </c>
      <c r="F249">
        <v>21.33</v>
      </c>
      <c r="G249" s="1">
        <v>60872600</v>
      </c>
      <c r="I249">
        <f t="shared" si="3"/>
        <v>-4.1348314606741647E-2</v>
      </c>
    </row>
    <row r="250" spans="1:9" x14ac:dyDescent="0.2">
      <c r="A250" s="5">
        <v>45782</v>
      </c>
      <c r="B250">
        <v>24.2</v>
      </c>
      <c r="C250">
        <v>24.25</v>
      </c>
      <c r="D250">
        <v>23.85</v>
      </c>
      <c r="E250">
        <v>23.87</v>
      </c>
      <c r="F250">
        <v>22.25</v>
      </c>
      <c r="G250" s="1">
        <v>40811800</v>
      </c>
      <c r="I250">
        <f t="shared" si="3"/>
        <v>-1.3741134751772993E-2</v>
      </c>
    </row>
    <row r="251" spans="1:9" x14ac:dyDescent="0.2">
      <c r="A251" s="5">
        <v>45779</v>
      </c>
      <c r="B251">
        <v>24.28</v>
      </c>
      <c r="C251">
        <v>24.3</v>
      </c>
      <c r="D251">
        <v>23.97</v>
      </c>
      <c r="E251">
        <v>24.2</v>
      </c>
      <c r="F251">
        <v>22.56</v>
      </c>
      <c r="G251" s="1">
        <v>41685800</v>
      </c>
      <c r="I251">
        <f t="shared" si="3"/>
        <v>1.120573733751681E-2</v>
      </c>
    </row>
    <row r="252" spans="1:9" x14ac:dyDescent="0.2">
      <c r="A252" s="5">
        <v>45778</v>
      </c>
      <c r="B252">
        <v>24.3</v>
      </c>
      <c r="C252">
        <v>24.33</v>
      </c>
      <c r="D252">
        <v>23.8</v>
      </c>
      <c r="E252">
        <v>23.93</v>
      </c>
      <c r="F252">
        <v>22.31</v>
      </c>
      <c r="G252" s="1">
        <v>46891700</v>
      </c>
      <c r="I252">
        <f t="shared" si="3"/>
        <v>-1.9771528998242655E-2</v>
      </c>
    </row>
    <row r="253" spans="1:9" x14ac:dyDescent="0.2">
      <c r="A253" s="5">
        <v>45777</v>
      </c>
      <c r="B253">
        <v>24.2</v>
      </c>
      <c r="C253">
        <v>24.44</v>
      </c>
      <c r="D253">
        <v>23.98</v>
      </c>
      <c r="E253">
        <v>24.41</v>
      </c>
      <c r="F253">
        <v>22.76</v>
      </c>
      <c r="G253" s="1">
        <v>53941700</v>
      </c>
      <c r="I253">
        <f t="shared" si="3"/>
        <v>2.6149684400360768E-2</v>
      </c>
    </row>
    <row r="254" spans="1:9" x14ac:dyDescent="0.2">
      <c r="A254" s="5">
        <v>45776</v>
      </c>
      <c r="B254">
        <v>22.83</v>
      </c>
      <c r="C254">
        <v>24.12</v>
      </c>
      <c r="D254">
        <v>22.46</v>
      </c>
      <c r="E254">
        <v>23.79</v>
      </c>
      <c r="F254">
        <v>22.18</v>
      </c>
      <c r="G254" s="1">
        <v>98540200</v>
      </c>
      <c r="I254">
        <f t="shared" si="3"/>
        <v>3.2107957189390475E-2</v>
      </c>
    </row>
    <row r="255" spans="1:9" x14ac:dyDescent="0.2">
      <c r="A255" s="5">
        <v>45775</v>
      </c>
      <c r="B255">
        <v>23.03</v>
      </c>
      <c r="C255">
        <v>23.29</v>
      </c>
      <c r="D255">
        <v>22.9</v>
      </c>
      <c r="E255">
        <v>23.05</v>
      </c>
      <c r="F255">
        <v>21.49</v>
      </c>
      <c r="G255" s="1">
        <v>55888900</v>
      </c>
      <c r="I255">
        <f t="shared" si="3"/>
        <v>5.615348619560011E-3</v>
      </c>
    </row>
    <row r="256" spans="1:9" x14ac:dyDescent="0.2">
      <c r="A256" s="5">
        <v>45772</v>
      </c>
      <c r="B256">
        <v>22.77</v>
      </c>
      <c r="C256">
        <v>23.11</v>
      </c>
      <c r="D256">
        <v>22.48</v>
      </c>
      <c r="E256">
        <v>22.92</v>
      </c>
      <c r="F256">
        <v>21.37</v>
      </c>
      <c r="G256" s="1">
        <v>35847700</v>
      </c>
      <c r="I256">
        <f t="shared" si="3"/>
        <v>6.1205273069681061E-3</v>
      </c>
    </row>
    <row r="257" spans="1:9" x14ac:dyDescent="0.2">
      <c r="A257" s="5">
        <v>45771</v>
      </c>
      <c r="B257">
        <v>22.4</v>
      </c>
      <c r="C257">
        <v>22.86</v>
      </c>
      <c r="D257">
        <v>22.23</v>
      </c>
      <c r="E257">
        <v>22.78</v>
      </c>
      <c r="F257">
        <v>21.24</v>
      </c>
      <c r="G257" s="1">
        <v>35009600</v>
      </c>
      <c r="I257">
        <f t="shared" si="3"/>
        <v>1.7728797316722444E-2</v>
      </c>
    </row>
    <row r="258" spans="1:9" x14ac:dyDescent="0.2">
      <c r="A258" s="5">
        <v>45770</v>
      </c>
      <c r="B258">
        <v>22.78</v>
      </c>
      <c r="C258">
        <v>23.06</v>
      </c>
      <c r="D258">
        <v>22.24</v>
      </c>
      <c r="E258">
        <v>22.39</v>
      </c>
      <c r="F258">
        <v>20.87</v>
      </c>
      <c r="G258" s="1">
        <v>50781000</v>
      </c>
      <c r="I258">
        <f t="shared" si="3"/>
        <v>-6.6634935744883652E-3</v>
      </c>
    </row>
    <row r="259" spans="1:9" x14ac:dyDescent="0.2">
      <c r="A259" s="5">
        <v>45769</v>
      </c>
      <c r="B259">
        <v>22.18</v>
      </c>
      <c r="C259">
        <v>22.55</v>
      </c>
      <c r="D259">
        <v>22.15</v>
      </c>
      <c r="E259">
        <v>22.53</v>
      </c>
      <c r="F259">
        <v>21.01</v>
      </c>
      <c r="G259" s="1">
        <v>36052600</v>
      </c>
      <c r="I259">
        <f t="shared" ref="I259:I274" si="4">(F259-F260)/F260</f>
        <v>2.2384428223844323E-2</v>
      </c>
    </row>
    <row r="260" spans="1:9" x14ac:dyDescent="0.2">
      <c r="A260" s="5">
        <v>45768</v>
      </c>
      <c r="B260">
        <v>22.13</v>
      </c>
      <c r="C260">
        <v>22.17</v>
      </c>
      <c r="D260">
        <v>21.87</v>
      </c>
      <c r="E260">
        <v>22.04</v>
      </c>
      <c r="F260">
        <v>20.55</v>
      </c>
      <c r="G260" s="1">
        <v>32021000</v>
      </c>
      <c r="I260">
        <f t="shared" si="4"/>
        <v>-4.3604651162790628E-3</v>
      </c>
    </row>
    <row r="261" spans="1:9" x14ac:dyDescent="0.2">
      <c r="A261" s="5">
        <v>45764</v>
      </c>
      <c r="B261">
        <v>22.15</v>
      </c>
      <c r="C261">
        <v>22.55</v>
      </c>
      <c r="D261">
        <v>22.1</v>
      </c>
      <c r="E261">
        <v>22.14</v>
      </c>
      <c r="F261">
        <v>20.64</v>
      </c>
      <c r="G261" s="1">
        <v>54073700</v>
      </c>
      <c r="I261">
        <f t="shared" si="4"/>
        <v>4.379562043795613E-3</v>
      </c>
    </row>
    <row r="262" spans="1:9" x14ac:dyDescent="0.2">
      <c r="A262" s="5">
        <v>45763</v>
      </c>
      <c r="B262">
        <v>22.49</v>
      </c>
      <c r="C262">
        <v>22.68</v>
      </c>
      <c r="D262">
        <v>21.95</v>
      </c>
      <c r="E262">
        <v>22.04</v>
      </c>
      <c r="F262">
        <v>20.55</v>
      </c>
      <c r="G262" s="1">
        <v>37641200</v>
      </c>
      <c r="I262">
        <f t="shared" si="4"/>
        <v>-1.7686424474187428E-2</v>
      </c>
    </row>
    <row r="263" spans="1:9" x14ac:dyDescent="0.2">
      <c r="A263" s="5">
        <v>45762</v>
      </c>
      <c r="B263">
        <v>22.17</v>
      </c>
      <c r="C263">
        <v>22.93</v>
      </c>
      <c r="D263">
        <v>22.13</v>
      </c>
      <c r="E263">
        <v>22.44</v>
      </c>
      <c r="F263">
        <v>20.92</v>
      </c>
      <c r="G263" s="1">
        <v>51814700</v>
      </c>
      <c r="I263">
        <f t="shared" si="4"/>
        <v>1.4548981571290044E-2</v>
      </c>
    </row>
    <row r="264" spans="1:9" x14ac:dyDescent="0.2">
      <c r="A264" s="5">
        <v>45761</v>
      </c>
      <c r="B264">
        <v>22.08</v>
      </c>
      <c r="C264">
        <v>22.23</v>
      </c>
      <c r="D264">
        <v>21.87</v>
      </c>
      <c r="E264">
        <v>22.12</v>
      </c>
      <c r="F264">
        <v>20.62</v>
      </c>
      <c r="G264" s="1">
        <v>61900900</v>
      </c>
      <c r="I264">
        <f t="shared" si="4"/>
        <v>9.3000489476261026E-3</v>
      </c>
    </row>
    <row r="265" spans="1:9" x14ac:dyDescent="0.2">
      <c r="A265" s="5">
        <v>45758</v>
      </c>
      <c r="B265">
        <v>21.59</v>
      </c>
      <c r="C265">
        <v>22</v>
      </c>
      <c r="D265">
        <v>21.28</v>
      </c>
      <c r="E265">
        <v>21.91</v>
      </c>
      <c r="F265">
        <v>20.43</v>
      </c>
      <c r="G265" s="1">
        <v>55078100</v>
      </c>
      <c r="I265">
        <f t="shared" si="4"/>
        <v>1.4903129657228054E-2</v>
      </c>
    </row>
    <row r="266" spans="1:9" x14ac:dyDescent="0.2">
      <c r="A266" s="5">
        <v>45757</v>
      </c>
      <c r="B266">
        <v>22.26</v>
      </c>
      <c r="C266">
        <v>22.27</v>
      </c>
      <c r="D266">
        <v>21.09</v>
      </c>
      <c r="E266">
        <v>21.59</v>
      </c>
      <c r="F266">
        <v>20.13</v>
      </c>
      <c r="G266" s="1">
        <v>72960700</v>
      </c>
      <c r="I266">
        <f t="shared" si="4"/>
        <v>-4.0057224606580823E-2</v>
      </c>
    </row>
    <row r="267" spans="1:9" x14ac:dyDescent="0.2">
      <c r="A267" s="5">
        <v>45756</v>
      </c>
      <c r="B267">
        <v>21.11</v>
      </c>
      <c r="C267">
        <v>22.54</v>
      </c>
      <c r="D267">
        <v>20.92</v>
      </c>
      <c r="E267">
        <v>22.49</v>
      </c>
      <c r="F267">
        <v>20.97</v>
      </c>
      <c r="G267" s="1">
        <v>95954400</v>
      </c>
      <c r="I267">
        <f t="shared" si="4"/>
        <v>2.996070726915518E-2</v>
      </c>
    </row>
    <row r="268" spans="1:9" x14ac:dyDescent="0.2">
      <c r="A268" s="5">
        <v>45755</v>
      </c>
      <c r="B268">
        <v>22.9</v>
      </c>
      <c r="C268">
        <v>22.99</v>
      </c>
      <c r="D268">
        <v>21.44</v>
      </c>
      <c r="E268">
        <v>21.84</v>
      </c>
      <c r="F268">
        <v>20.36</v>
      </c>
      <c r="G268" s="1">
        <v>72406000</v>
      </c>
      <c r="I268">
        <f t="shared" si="4"/>
        <v>-3.5071090047393456E-2</v>
      </c>
    </row>
    <row r="269" spans="1:9" x14ac:dyDescent="0.2">
      <c r="A269" s="5">
        <v>45754</v>
      </c>
      <c r="B269">
        <v>22.14</v>
      </c>
      <c r="C269">
        <v>23.16</v>
      </c>
      <c r="D269">
        <v>21.75</v>
      </c>
      <c r="E269">
        <v>22.63</v>
      </c>
      <c r="F269">
        <v>21.1</v>
      </c>
      <c r="G269" s="1">
        <v>86106100</v>
      </c>
      <c r="I269">
        <f t="shared" si="4"/>
        <v>-1.4939309056956129E-2</v>
      </c>
    </row>
    <row r="270" spans="1:9" x14ac:dyDescent="0.2">
      <c r="A270" s="5">
        <v>45751</v>
      </c>
      <c r="B270">
        <v>23.94</v>
      </c>
      <c r="C270">
        <v>24.1</v>
      </c>
      <c r="D270">
        <v>22.95</v>
      </c>
      <c r="E270">
        <v>22.97</v>
      </c>
      <c r="F270">
        <v>21.42</v>
      </c>
      <c r="G270" s="1">
        <v>80002600</v>
      </c>
      <c r="I270">
        <f t="shared" si="4"/>
        <v>-5.4304635761589268E-2</v>
      </c>
    </row>
    <row r="271" spans="1:9" x14ac:dyDescent="0.2">
      <c r="A271" s="5">
        <v>45750</v>
      </c>
      <c r="B271">
        <v>24.74</v>
      </c>
      <c r="C271">
        <v>24.87</v>
      </c>
      <c r="D271">
        <v>24.28</v>
      </c>
      <c r="E271">
        <v>24.29</v>
      </c>
      <c r="F271">
        <v>22.65</v>
      </c>
      <c r="G271" s="1">
        <v>53501800</v>
      </c>
      <c r="I271">
        <f t="shared" si="4"/>
        <v>-1.6500217108119955E-2</v>
      </c>
    </row>
    <row r="272" spans="1:9" x14ac:dyDescent="0.2">
      <c r="A272" s="5">
        <v>45749</v>
      </c>
      <c r="B272">
        <v>24.5</v>
      </c>
      <c r="C272">
        <v>24.74</v>
      </c>
      <c r="D272">
        <v>24.31</v>
      </c>
      <c r="E272">
        <v>24.7</v>
      </c>
      <c r="F272">
        <v>23.03</v>
      </c>
      <c r="G272" s="1">
        <v>41965000</v>
      </c>
      <c r="I272">
        <f t="shared" si="4"/>
        <v>6.5559440559441497E-3</v>
      </c>
    </row>
    <row r="273" spans="1:9" x14ac:dyDescent="0.2">
      <c r="A273" s="5">
        <v>45748</v>
      </c>
      <c r="B273">
        <v>25.29</v>
      </c>
      <c r="C273">
        <v>25.35</v>
      </c>
      <c r="D273">
        <v>24.52</v>
      </c>
      <c r="E273">
        <v>24.54</v>
      </c>
      <c r="F273">
        <v>22.88</v>
      </c>
      <c r="G273" s="1">
        <v>54444200</v>
      </c>
      <c r="I273">
        <f t="shared" si="4"/>
        <v>-3.1739314430808296E-2</v>
      </c>
    </row>
    <row r="274" spans="1:9" x14ac:dyDescent="0.2">
      <c r="A274" s="5">
        <v>45747</v>
      </c>
      <c r="B274">
        <v>24.8</v>
      </c>
      <c r="C274">
        <v>25.43</v>
      </c>
      <c r="D274">
        <v>24.61</v>
      </c>
      <c r="E274">
        <v>25.34</v>
      </c>
      <c r="F274">
        <v>23.63</v>
      </c>
      <c r="G274" s="1">
        <v>53498100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6171-D362-A24E-B06A-DC7F4497F21E}">
  <dimension ref="A1:J31"/>
  <sheetViews>
    <sheetView workbookViewId="0">
      <selection activeCell="J2" sqref="J2:J15"/>
    </sheetView>
  </sheetViews>
  <sheetFormatPr baseColWidth="10" defaultRowHeight="16" x14ac:dyDescent="0.2"/>
  <cols>
    <col min="8" max="8" width="15.1640625" style="8" customWidth="1"/>
    <col min="10" max="10" width="21.33203125" style="8" customWidth="1"/>
  </cols>
  <sheetData>
    <row r="1" spans="1:10" x14ac:dyDescent="0.2">
      <c r="A1" s="2" t="s">
        <v>47</v>
      </c>
    </row>
    <row r="2" spans="1:10" x14ac:dyDescent="0.2">
      <c r="A2" t="s">
        <v>31</v>
      </c>
      <c r="B2" t="s">
        <v>32</v>
      </c>
      <c r="C2" t="s">
        <v>33</v>
      </c>
      <c r="D2" t="s">
        <v>34</v>
      </c>
      <c r="E2" t="s">
        <v>45</v>
      </c>
      <c r="F2" t="s">
        <v>46</v>
      </c>
      <c r="G2" s="1"/>
      <c r="H2" s="8" t="s">
        <v>49</v>
      </c>
      <c r="J2" s="8" t="s">
        <v>50</v>
      </c>
    </row>
    <row r="3" spans="1:10" x14ac:dyDescent="0.2">
      <c r="A3" s="5">
        <v>46113</v>
      </c>
      <c r="B3" s="6">
        <v>6556.56</v>
      </c>
      <c r="C3" s="6">
        <v>7178.74</v>
      </c>
      <c r="D3" s="6">
        <v>6474.94</v>
      </c>
      <c r="E3" s="6">
        <v>7135.95</v>
      </c>
      <c r="F3" s="6">
        <v>7135.95</v>
      </c>
      <c r="G3" s="1"/>
      <c r="H3" s="8">
        <f>(F3-F4)/F4</f>
        <v>9.3042527249667509E-2</v>
      </c>
      <c r="J3" s="8">
        <f>H19-H3</f>
        <v>-0.15785734206448221</v>
      </c>
    </row>
    <row r="4" spans="1:10" x14ac:dyDescent="0.2">
      <c r="A4" s="5">
        <v>46082</v>
      </c>
      <c r="B4" s="6">
        <v>6824.36</v>
      </c>
      <c r="C4" s="6">
        <v>6901.01</v>
      </c>
      <c r="D4" s="6">
        <v>6316.91</v>
      </c>
      <c r="E4" s="6">
        <v>6528.52</v>
      </c>
      <c r="F4" s="6">
        <v>6528.52</v>
      </c>
      <c r="G4" s="1"/>
      <c r="H4" s="8">
        <f t="shared" ref="H4:H31" si="0">(F4-F5)/F5</f>
        <v>-5.0932709976042566E-2</v>
      </c>
      <c r="J4" s="8">
        <f>H20-H4</f>
        <v>6.6484247046566969E-2</v>
      </c>
    </row>
    <row r="5" spans="1:10" x14ac:dyDescent="0.2">
      <c r="A5" s="5">
        <v>46054</v>
      </c>
      <c r="B5" s="6">
        <v>6916.64</v>
      </c>
      <c r="C5" s="6">
        <v>6993.48</v>
      </c>
      <c r="D5" s="6">
        <v>6775.5</v>
      </c>
      <c r="E5" s="6">
        <v>6878.88</v>
      </c>
      <c r="F5" s="6">
        <v>6878.88</v>
      </c>
      <c r="G5" s="1"/>
      <c r="H5" s="8">
        <f t="shared" si="0"/>
        <v>-8.6683585457909308E-3</v>
      </c>
      <c r="J5" s="8">
        <f t="shared" ref="J4:J14" si="1">H21-H5</f>
        <v>7.212989700732933E-2</v>
      </c>
    </row>
    <row r="6" spans="1:10" x14ac:dyDescent="0.2">
      <c r="A6" s="5">
        <v>46023</v>
      </c>
      <c r="B6" s="6">
        <v>6878.11</v>
      </c>
      <c r="C6" s="6">
        <v>7002.28</v>
      </c>
      <c r="D6" s="6">
        <v>6789.05</v>
      </c>
      <c r="E6" s="6">
        <v>6939.03</v>
      </c>
      <c r="F6" s="6">
        <v>6939.03</v>
      </c>
      <c r="G6" s="1"/>
      <c r="H6" s="8">
        <f t="shared" si="0"/>
        <v>1.3662990285589037E-2</v>
      </c>
      <c r="J6" s="8">
        <f t="shared" si="1"/>
        <v>4.7994829232581714E-2</v>
      </c>
    </row>
    <row r="7" spans="1:10" x14ac:dyDescent="0.2">
      <c r="A7" s="5">
        <v>45992</v>
      </c>
      <c r="B7" s="6">
        <v>6812.3</v>
      </c>
      <c r="C7" s="6">
        <v>6945.77</v>
      </c>
      <c r="D7" s="6">
        <v>6720.43</v>
      </c>
      <c r="E7" s="6">
        <v>6845.5</v>
      </c>
      <c r="F7" s="6">
        <v>6845.5</v>
      </c>
      <c r="G7" s="1"/>
      <c r="H7" s="8">
        <f t="shared" si="0"/>
        <v>-5.2415722380639554E-4</v>
      </c>
      <c r="J7" s="8">
        <f t="shared" si="1"/>
        <v>-1.5151083933749898E-2</v>
      </c>
    </row>
    <row r="8" spans="1:10" x14ac:dyDescent="0.2">
      <c r="A8" s="5">
        <v>45962</v>
      </c>
      <c r="B8" s="6">
        <v>6882.32</v>
      </c>
      <c r="C8" s="6">
        <v>6882.32</v>
      </c>
      <c r="D8" s="6">
        <v>6521.92</v>
      </c>
      <c r="E8" s="6">
        <v>6849.09</v>
      </c>
      <c r="F8" s="6">
        <v>6849.09</v>
      </c>
      <c r="G8" s="1"/>
      <c r="H8" s="8">
        <f t="shared" si="0"/>
        <v>1.2996696003041326E-3</v>
      </c>
      <c r="J8" s="8">
        <f t="shared" si="1"/>
        <v>4.3200750214977088E-2</v>
      </c>
    </row>
    <row r="9" spans="1:10" x14ac:dyDescent="0.2">
      <c r="A9" s="5">
        <v>45931</v>
      </c>
      <c r="B9" s="6">
        <v>6664.92</v>
      </c>
      <c r="C9" s="6">
        <v>6920.34</v>
      </c>
      <c r="D9" s="6">
        <v>6550.78</v>
      </c>
      <c r="E9" s="6">
        <v>6840.2</v>
      </c>
      <c r="F9" s="6">
        <v>6840.2</v>
      </c>
      <c r="G9" s="1"/>
      <c r="H9" s="8">
        <f t="shared" si="0"/>
        <v>2.268683673072722E-2</v>
      </c>
      <c r="J9" s="8">
        <f t="shared" si="1"/>
        <v>-5.5573560238644348E-2</v>
      </c>
    </row>
    <row r="10" spans="1:10" x14ac:dyDescent="0.2">
      <c r="A10" s="5">
        <v>45901</v>
      </c>
      <c r="B10" s="6">
        <v>6401.51</v>
      </c>
      <c r="C10" s="6">
        <v>6699.52</v>
      </c>
      <c r="D10" s="6">
        <v>6360.58</v>
      </c>
      <c r="E10" s="6">
        <v>6688.46</v>
      </c>
      <c r="F10" s="6">
        <v>6688.46</v>
      </c>
      <c r="G10" s="1"/>
      <c r="H10" s="8">
        <f t="shared" si="0"/>
        <v>3.5323655704259549E-2</v>
      </c>
      <c r="J10" s="8">
        <f t="shared" si="1"/>
        <v>-6.0716707481375566E-3</v>
      </c>
    </row>
    <row r="11" spans="1:10" x14ac:dyDescent="0.2">
      <c r="A11" s="5">
        <v>45870</v>
      </c>
      <c r="B11" s="6">
        <v>6287.28</v>
      </c>
      <c r="C11" s="6">
        <v>6508.23</v>
      </c>
      <c r="D11" s="6">
        <v>6212.69</v>
      </c>
      <c r="E11" s="6">
        <v>6460.26</v>
      </c>
      <c r="F11" s="6">
        <v>6460.26</v>
      </c>
      <c r="G11" s="1"/>
      <c r="H11" s="8">
        <f t="shared" si="0"/>
        <v>1.9066503244002955E-2</v>
      </c>
      <c r="J11" s="8">
        <f t="shared" si="1"/>
        <v>6.2271047591966347E-2</v>
      </c>
    </row>
    <row r="12" spans="1:10" x14ac:dyDescent="0.2">
      <c r="A12" s="5">
        <v>45839</v>
      </c>
      <c r="B12" s="6">
        <v>6187.25</v>
      </c>
      <c r="C12" s="6">
        <v>6427.02</v>
      </c>
      <c r="D12" s="6">
        <v>6177.97</v>
      </c>
      <c r="E12" s="6">
        <v>6339.39</v>
      </c>
      <c r="F12" s="6">
        <v>6339.39</v>
      </c>
      <c r="G12" s="1"/>
      <c r="H12" s="8">
        <f t="shared" si="0"/>
        <v>2.1666572655702383E-2</v>
      </c>
      <c r="J12" s="8">
        <f t="shared" si="1"/>
        <v>-6.0746034227565263E-2</v>
      </c>
    </row>
    <row r="13" spans="1:10" x14ac:dyDescent="0.2">
      <c r="A13" s="5">
        <v>45809</v>
      </c>
      <c r="B13" s="6">
        <v>5896.68</v>
      </c>
      <c r="C13" s="6">
        <v>6215.08</v>
      </c>
      <c r="D13" s="6">
        <v>5861.43</v>
      </c>
      <c r="E13" s="6">
        <v>6204.95</v>
      </c>
      <c r="F13" s="6">
        <v>6204.95</v>
      </c>
      <c r="G13" s="1"/>
      <c r="H13" s="8">
        <f t="shared" si="0"/>
        <v>4.9606796026178679E-2</v>
      </c>
      <c r="J13" s="8">
        <f t="shared" si="1"/>
        <v>1.9913774898031797E-3</v>
      </c>
    </row>
    <row r="14" spans="1:10" x14ac:dyDescent="0.2">
      <c r="A14" s="5">
        <v>45778</v>
      </c>
      <c r="B14" s="6">
        <v>5625.14</v>
      </c>
      <c r="C14" s="6">
        <v>5968.61</v>
      </c>
      <c r="D14" s="6">
        <v>5578.64</v>
      </c>
      <c r="E14" s="6">
        <v>5911.69</v>
      </c>
      <c r="F14" s="6">
        <v>5911.69</v>
      </c>
      <c r="G14" s="1"/>
      <c r="H14" s="8">
        <f t="shared" si="0"/>
        <v>6.1523847830693E-2</v>
      </c>
      <c r="J14" s="8">
        <f t="shared" si="1"/>
        <v>-9.9309436582889959E-2</v>
      </c>
    </row>
    <row r="15" spans="1:10" x14ac:dyDescent="0.2">
      <c r="A15" s="5">
        <v>45748</v>
      </c>
      <c r="B15" s="6">
        <v>5597.53</v>
      </c>
      <c r="C15" s="6">
        <v>5695.31</v>
      </c>
      <c r="D15" s="6">
        <v>4835.04</v>
      </c>
      <c r="E15" s="6">
        <v>5569.06</v>
      </c>
      <c r="F15" s="6">
        <v>5569.06</v>
      </c>
    </row>
    <row r="17" spans="1:8" x14ac:dyDescent="0.2">
      <c r="A17" s="2" t="s">
        <v>48</v>
      </c>
    </row>
    <row r="18" spans="1:8" x14ac:dyDescent="0.2">
      <c r="A18" t="s">
        <v>31</v>
      </c>
      <c r="B18" t="s">
        <v>32</v>
      </c>
      <c r="C18" t="s">
        <v>33</v>
      </c>
      <c r="D18" t="s">
        <v>34</v>
      </c>
      <c r="E18" t="s">
        <v>45</v>
      </c>
      <c r="F18" t="s">
        <v>46</v>
      </c>
      <c r="G18" s="1"/>
    </row>
    <row r="19" spans="1:8" x14ac:dyDescent="0.2">
      <c r="A19" s="5">
        <v>46113</v>
      </c>
      <c r="B19">
        <v>28.27</v>
      </c>
      <c r="C19">
        <v>28.75</v>
      </c>
      <c r="D19">
        <v>26.2</v>
      </c>
      <c r="E19">
        <v>26.26</v>
      </c>
      <c r="F19">
        <v>26.26</v>
      </c>
      <c r="G19" s="1"/>
      <c r="H19" s="8">
        <f t="shared" si="0"/>
        <v>-6.48148148148147E-2</v>
      </c>
    </row>
    <row r="20" spans="1:8" x14ac:dyDescent="0.2">
      <c r="A20" s="5">
        <v>46082</v>
      </c>
      <c r="B20">
        <v>27.57</v>
      </c>
      <c r="C20">
        <v>28.31</v>
      </c>
      <c r="D20">
        <v>26.2</v>
      </c>
      <c r="E20">
        <v>28.08</v>
      </c>
      <c r="F20">
        <v>28.08</v>
      </c>
      <c r="G20" s="1"/>
      <c r="H20" s="8">
        <f t="shared" si="0"/>
        <v>1.5551537070524403E-2</v>
      </c>
    </row>
    <row r="21" spans="1:8" x14ac:dyDescent="0.2">
      <c r="A21" s="5">
        <v>46054</v>
      </c>
      <c r="B21">
        <v>26.42</v>
      </c>
      <c r="C21">
        <v>27.94</v>
      </c>
      <c r="D21">
        <v>25.26</v>
      </c>
      <c r="E21">
        <v>27.65</v>
      </c>
      <c r="F21">
        <v>27.65</v>
      </c>
      <c r="G21" s="1"/>
      <c r="H21" s="8">
        <f t="shared" si="0"/>
        <v>6.3461538461538403E-2</v>
      </c>
    </row>
    <row r="22" spans="1:8" x14ac:dyDescent="0.2">
      <c r="A22" s="5">
        <v>46023</v>
      </c>
      <c r="B22">
        <v>24.98</v>
      </c>
      <c r="C22">
        <v>26.83</v>
      </c>
      <c r="D22">
        <v>24.83</v>
      </c>
      <c r="E22">
        <v>26.44</v>
      </c>
      <c r="F22">
        <v>26</v>
      </c>
      <c r="G22" s="1"/>
      <c r="H22" s="8">
        <f t="shared" si="0"/>
        <v>6.1657819518170752E-2</v>
      </c>
    </row>
    <row r="23" spans="1:8" x14ac:dyDescent="0.2">
      <c r="A23" s="5">
        <v>45992</v>
      </c>
      <c r="B23">
        <v>25.76</v>
      </c>
      <c r="C23">
        <v>26.65</v>
      </c>
      <c r="D23">
        <v>24.83</v>
      </c>
      <c r="E23">
        <v>24.9</v>
      </c>
      <c r="F23">
        <v>24.49</v>
      </c>
      <c r="G23" s="1"/>
      <c r="H23" s="8">
        <f t="shared" si="0"/>
        <v>-1.5675241157556294E-2</v>
      </c>
    </row>
    <row r="24" spans="1:8" x14ac:dyDescent="0.2">
      <c r="A24" s="5">
        <v>45962</v>
      </c>
      <c r="B24">
        <v>24.59</v>
      </c>
      <c r="C24">
        <v>26.48</v>
      </c>
      <c r="D24">
        <v>23.91</v>
      </c>
      <c r="E24">
        <v>25.74</v>
      </c>
      <c r="F24">
        <v>24.88</v>
      </c>
      <c r="G24" s="1"/>
      <c r="H24" s="8">
        <f t="shared" si="0"/>
        <v>4.4500419815281224E-2</v>
      </c>
    </row>
    <row r="25" spans="1:8" x14ac:dyDescent="0.2">
      <c r="A25" s="5">
        <v>45931</v>
      </c>
      <c r="B25">
        <v>25.97</v>
      </c>
      <c r="C25">
        <v>27.69</v>
      </c>
      <c r="D25">
        <v>24.15</v>
      </c>
      <c r="E25">
        <v>24.65</v>
      </c>
      <c r="F25">
        <v>23.82</v>
      </c>
      <c r="G25" s="1"/>
      <c r="H25" s="8">
        <f t="shared" si="0"/>
        <v>-3.2886723507917125E-2</v>
      </c>
    </row>
    <row r="26" spans="1:8" x14ac:dyDescent="0.2">
      <c r="A26" s="5">
        <v>45901</v>
      </c>
      <c r="B26">
        <v>24.73</v>
      </c>
      <c r="C26">
        <v>25.63</v>
      </c>
      <c r="D26">
        <v>23.58</v>
      </c>
      <c r="E26">
        <v>25.48</v>
      </c>
      <c r="F26">
        <v>24.63</v>
      </c>
      <c r="G26" s="1"/>
      <c r="H26" s="8">
        <f t="shared" si="0"/>
        <v>2.9251984956121992E-2</v>
      </c>
    </row>
    <row r="27" spans="1:8" x14ac:dyDescent="0.2">
      <c r="A27" s="5">
        <v>45870</v>
      </c>
      <c r="B27">
        <v>23.3</v>
      </c>
      <c r="C27">
        <v>26.11</v>
      </c>
      <c r="D27">
        <v>23.11</v>
      </c>
      <c r="E27">
        <v>24.76</v>
      </c>
      <c r="F27">
        <v>23.93</v>
      </c>
      <c r="G27" s="1"/>
      <c r="H27" s="8">
        <f t="shared" si="0"/>
        <v>8.1337550835969302E-2</v>
      </c>
    </row>
    <row r="28" spans="1:8" x14ac:dyDescent="0.2">
      <c r="A28" s="5">
        <v>45839</v>
      </c>
      <c r="B28">
        <v>24.28</v>
      </c>
      <c r="C28">
        <v>26.05</v>
      </c>
      <c r="D28">
        <v>23.14</v>
      </c>
      <c r="E28">
        <v>23.29</v>
      </c>
      <c r="F28">
        <v>22.13</v>
      </c>
      <c r="G28" s="1"/>
      <c r="H28" s="8">
        <f t="shared" si="0"/>
        <v>-3.9079461571862879E-2</v>
      </c>
    </row>
    <row r="29" spans="1:8" x14ac:dyDescent="0.2">
      <c r="A29" s="5">
        <v>45809</v>
      </c>
      <c r="B29">
        <v>23.54</v>
      </c>
      <c r="C29">
        <v>24.95</v>
      </c>
      <c r="D29">
        <v>23.06</v>
      </c>
      <c r="E29">
        <v>24.24</v>
      </c>
      <c r="F29">
        <v>23.03</v>
      </c>
      <c r="G29" s="1"/>
      <c r="H29" s="8">
        <f t="shared" si="0"/>
        <v>5.1598173515981859E-2</v>
      </c>
    </row>
    <row r="30" spans="1:8" x14ac:dyDescent="0.2">
      <c r="A30" s="5">
        <v>45778</v>
      </c>
      <c r="B30">
        <v>24.3</v>
      </c>
      <c r="C30">
        <v>24.33</v>
      </c>
      <c r="D30">
        <v>21.97</v>
      </c>
      <c r="E30">
        <v>23.49</v>
      </c>
      <c r="F30">
        <v>21.9</v>
      </c>
      <c r="G30" s="1"/>
      <c r="H30" s="8">
        <f t="shared" si="0"/>
        <v>-3.7785588752196966E-2</v>
      </c>
    </row>
    <row r="31" spans="1:8" x14ac:dyDescent="0.2">
      <c r="A31" s="5">
        <v>45748</v>
      </c>
      <c r="B31">
        <v>25.29</v>
      </c>
      <c r="C31">
        <v>25.35</v>
      </c>
      <c r="D31">
        <v>20.92</v>
      </c>
      <c r="E31">
        <v>24.41</v>
      </c>
      <c r="F31">
        <v>22.76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Signals</vt:lpstr>
      <vt:lpstr>Historical Data PFE</vt:lpstr>
      <vt:lpstr>Historical Monthly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Park</dc:creator>
  <cp:lastModifiedBy>Charlotte Park</cp:lastModifiedBy>
  <dcterms:created xsi:type="dcterms:W3CDTF">2026-04-29T22:53:30Z</dcterms:created>
  <dcterms:modified xsi:type="dcterms:W3CDTF">2026-04-30T21:12:03Z</dcterms:modified>
</cp:coreProperties>
</file>